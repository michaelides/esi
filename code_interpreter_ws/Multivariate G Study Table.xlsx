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ca\Documents\Stored Documents\Conferences\SIOP\SIOP 2025\Working dir SIOP\"/>
    </mc:Choice>
  </mc:AlternateContent>
  <xr:revisionPtr revIDLastSave="0" documentId="13_ncr:1_{E4C92626-CFE1-496C-8BC2-718556C57020}" xr6:coauthVersionLast="47" xr6:coauthVersionMax="47" xr10:uidLastSave="{00000000-0000-0000-0000-000000000000}"/>
  <bookViews>
    <workbookView xWindow="-96" yWindow="-96" windowWidth="23232" windowHeight="12432" xr2:uid="{05E78E83-FCE1-47F7-9DDA-30746456AAE4}"/>
  </bookViews>
  <sheets>
    <sheet name="MGT 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19" i="1"/>
  <c r="D18" i="1"/>
  <c r="C17" i="1"/>
  <c r="B16" i="1"/>
  <c r="F14" i="1"/>
  <c r="M14" i="1" s="1"/>
  <c r="E13" i="1"/>
  <c r="L13" i="1" s="1"/>
  <c r="D12" i="1"/>
  <c r="K12" i="1" s="1"/>
  <c r="C11" i="1"/>
  <c r="J11" i="1" s="1"/>
  <c r="B10" i="1"/>
  <c r="I10" i="1" s="1"/>
  <c r="F7" i="1"/>
  <c r="M7" i="1" s="1"/>
  <c r="F6" i="1"/>
  <c r="M6" i="1" s="1"/>
  <c r="F5" i="1"/>
  <c r="M5" i="1" s="1"/>
  <c r="F4" i="1"/>
  <c r="M4" i="1" s="1"/>
  <c r="E6" i="1"/>
  <c r="L6" i="1" s="1"/>
  <c r="E5" i="1"/>
  <c r="L5" i="1" s="1"/>
  <c r="E4" i="1"/>
  <c r="L4" i="1" s="1"/>
  <c r="D5" i="1"/>
  <c r="K5" i="1" s="1"/>
  <c r="D4" i="1"/>
  <c r="K4" i="1" s="1"/>
  <c r="C4" i="1"/>
  <c r="J4" i="1" s="1"/>
  <c r="E8" i="1"/>
  <c r="L8" i="1" s="1"/>
  <c r="D8" i="1"/>
  <c r="K8" i="1" s="1"/>
  <c r="D7" i="1"/>
  <c r="K7" i="1" s="1"/>
  <c r="C8" i="1"/>
  <c r="J8" i="1" s="1"/>
  <c r="C7" i="1"/>
  <c r="J7" i="1" s="1"/>
  <c r="C6" i="1"/>
  <c r="J6" i="1" s="1"/>
  <c r="B8" i="1"/>
  <c r="I8" i="1" s="1"/>
  <c r="B7" i="1"/>
  <c r="I7" i="1" s="1"/>
  <c r="B6" i="1"/>
  <c r="I6" i="1" s="1"/>
  <c r="B5" i="1"/>
  <c r="I5" i="1" s="1"/>
  <c r="F8" i="1"/>
  <c r="M8" i="1" s="1"/>
  <c r="M22" i="1" s="1"/>
  <c r="E7" i="1"/>
  <c r="L7" i="1" s="1"/>
  <c r="L22" i="1" s="1"/>
  <c r="D6" i="1"/>
  <c r="K6" i="1" s="1"/>
  <c r="C5" i="1"/>
  <c r="J5" i="1" s="1"/>
  <c r="B4" i="1"/>
  <c r="I4" i="1" s="1"/>
  <c r="J21" i="1" l="1"/>
  <c r="P5" i="1" s="1"/>
  <c r="K22" i="1"/>
  <c r="P11" i="1"/>
  <c r="K21" i="1"/>
  <c r="Q12" i="1" s="1"/>
  <c r="L21" i="1"/>
  <c r="R7" i="1" s="1"/>
  <c r="M21" i="1"/>
  <c r="S8" i="1" s="1"/>
  <c r="I22" i="1"/>
  <c r="I21" i="1"/>
  <c r="O4" i="1" s="1"/>
  <c r="Q6" i="1"/>
  <c r="J22" i="1"/>
  <c r="R13" i="1" l="1"/>
  <c r="O10" i="1"/>
  <c r="S14" i="1"/>
</calcChain>
</file>

<file path=xl/sharedStrings.xml><?xml version="1.0" encoding="utf-8"?>
<sst xmlns="http://schemas.openxmlformats.org/spreadsheetml/2006/main" count="156" uniqueCount="72">
  <si>
    <t>Estimate</t>
  </si>
  <si>
    <t>Est.Error</t>
  </si>
  <si>
    <t>Rhat</t>
  </si>
  <si>
    <t>Bulk_ESS</t>
  </si>
  <si>
    <t>Tail_ESS</t>
  </si>
  <si>
    <t>sd(o_Intercept)</t>
  </si>
  <si>
    <t>sd(c_Intercept)</t>
  </si>
  <si>
    <t>sd(e_Intercept)</t>
  </si>
  <si>
    <t>sd(a_Intercept)</t>
  </si>
  <si>
    <t>sd(n_Intercept)</t>
  </si>
  <si>
    <t>cor(o_Intercept,c_Intercept)</t>
  </si>
  <si>
    <t>cor(o_Intercept,e_Intercept)</t>
  </si>
  <si>
    <t>cor(c_Intercept,e_Intercept)</t>
  </si>
  <si>
    <t>cor(o_Intercept,a_Intercept)</t>
  </si>
  <si>
    <t>cor(c_Intercept,a_Intercept)</t>
  </si>
  <si>
    <t>cor(e_Intercept,a_Intercept)</t>
  </si>
  <si>
    <t>cor(o_Intercept,n_Intercept)</t>
  </si>
  <si>
    <t>cor(c_Intercept,n_Intercept)</t>
  </si>
  <si>
    <t>cor(e_Intercept,n_Intercept)</t>
  </si>
  <si>
    <t>cor(a_Intercept,n_Intercept)</t>
  </si>
  <si>
    <t>o_Intercept</t>
  </si>
  <si>
    <t>c_Intercept</t>
  </si>
  <si>
    <t>e_Intercept</t>
  </si>
  <si>
    <t>a_Intercept</t>
  </si>
  <si>
    <t>n_Intercept</t>
  </si>
  <si>
    <t>sigma_o</t>
  </si>
  <si>
    <t>sigma_c</t>
  </si>
  <si>
    <t>sigma_e</t>
  </si>
  <si>
    <t>sigma_a</t>
  </si>
  <si>
    <t>sigma_n</t>
  </si>
  <si>
    <t xml:space="preserve">~i (Number of levels: 5) </t>
  </si>
  <si>
    <t>l-95% CI</t>
  </si>
  <si>
    <t>u-95% CI</t>
  </si>
  <si>
    <t xml:space="preserve">~p (Number of levels: 100) </t>
  </si>
  <si>
    <t>Regression Coefficients:</t>
  </si>
  <si>
    <t>Further Distributional Parameters:</t>
  </si>
  <si>
    <t xml:space="preserve">Effect </t>
  </si>
  <si>
    <t>p(o)</t>
  </si>
  <si>
    <t>p(e)</t>
  </si>
  <si>
    <t>p(a)</t>
  </si>
  <si>
    <t>p(n)</t>
  </si>
  <si>
    <t>p(c)</t>
  </si>
  <si>
    <t>o</t>
  </si>
  <si>
    <t>c</t>
  </si>
  <si>
    <t>e</t>
  </si>
  <si>
    <t>a</t>
  </si>
  <si>
    <t>n</t>
  </si>
  <si>
    <t>Covariances:</t>
  </si>
  <si>
    <t>Q2.5</t>
  </si>
  <si>
    <t>Q97.5</t>
  </si>
  <si>
    <t>i(o)</t>
  </si>
  <si>
    <t>i(c)</t>
  </si>
  <si>
    <t xml:space="preserve">i(e) </t>
  </si>
  <si>
    <t>i(a)</t>
  </si>
  <si>
    <t>i(n)</t>
  </si>
  <si>
    <r>
      <t>pi,</t>
    </r>
    <r>
      <rPr>
        <i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(o)</t>
    </r>
  </si>
  <si>
    <t>pi,e(c)</t>
  </si>
  <si>
    <t>pi,e(e)</t>
  </si>
  <si>
    <t>pi,e(a)</t>
  </si>
  <si>
    <t>pi,e(n)</t>
  </si>
  <si>
    <t>dd</t>
  </si>
  <si>
    <t>Total (between)</t>
  </si>
  <si>
    <t>G</t>
  </si>
  <si>
    <t>Variances</t>
  </si>
  <si>
    <t>dd = divisional divisor (i.e., any i-related effect is adjusted for aggregation)</t>
  </si>
  <si>
    <t>Multivariate Generalizability Study</t>
  </si>
  <si>
    <t>Original Output from brms</t>
  </si>
  <si>
    <t>Variance estimates appear in bold along the diagonal</t>
  </si>
  <si>
    <t>For crossed effects, correlations appear in the upper and covariances appear in the lower diagonal</t>
  </si>
  <si>
    <t>BP Variances and G Coefficients</t>
  </si>
  <si>
    <t>BP Percentages</t>
  </si>
  <si>
    <r>
      <t>Note. o = openness, c = conscientiousness, e = extraversion, a = agreeableness, n = neuroticism; p = participants, i = items, pi,</t>
    </r>
    <r>
      <rPr>
        <i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= residual; BP = between-participant.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</si>
</sst>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166" fontId="16" fillId="0" borderId="0" xfId="0" applyNumberFormat="1" applyFont="1"/>
    <xf numFmtId="166" fontId="0" fillId="0" borderId="0" xfId="0" applyNumberFormat="1"/>
    <xf numFmtId="0" fontId="0" fillId="0" borderId="11" xfId="0" applyBorder="1"/>
    <xf numFmtId="0" fontId="0" fillId="0" borderId="11" xfId="0" applyBorder="1" applyAlignment="1">
      <alignment horizontal="center"/>
    </xf>
    <xf numFmtId="0" fontId="16" fillId="0" borderId="0" xfId="0" applyFont="1"/>
    <xf numFmtId="165" fontId="0" fillId="0" borderId="10" xfId="0" applyNumberFormat="1" applyBorder="1"/>
    <xf numFmtId="0" fontId="0" fillId="0" borderId="12" xfId="0" applyBorder="1"/>
    <xf numFmtId="165" fontId="0" fillId="0" borderId="12" xfId="0" applyNumberFormat="1" applyBorder="1"/>
    <xf numFmtId="165" fontId="16" fillId="0" borderId="12" xfId="0" applyNumberFormat="1" applyFont="1" applyBorder="1"/>
    <xf numFmtId="166" fontId="0" fillId="0" borderId="12" xfId="0" applyNumberFormat="1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81B7-AA3F-4FF3-A447-BFF762E7EE5B}">
  <dimension ref="A1:S116"/>
  <sheetViews>
    <sheetView tabSelected="1" zoomScaleNormal="100" workbookViewId="0">
      <selection activeCell="H10" sqref="H10"/>
    </sheetView>
  </sheetViews>
  <sheetFormatPr defaultRowHeight="14.4" x14ac:dyDescent="0.55000000000000004"/>
  <cols>
    <col min="1" max="1" width="23.41796875" customWidth="1"/>
    <col min="2" max="2" width="8" customWidth="1"/>
    <col min="3" max="3" width="5.89453125" customWidth="1"/>
    <col min="4" max="4" width="6.89453125" customWidth="1"/>
    <col min="5" max="5" width="6" customWidth="1"/>
    <col min="6" max="6" width="7" customWidth="1"/>
    <col min="7" max="7" width="1.68359375" customWidth="1"/>
    <col min="8" max="8" width="5.41796875" customWidth="1"/>
    <col min="9" max="9" width="6.5234375" customWidth="1"/>
    <col min="10" max="10" width="6.68359375" customWidth="1"/>
    <col min="11" max="11" width="6" customWidth="1"/>
    <col min="12" max="12" width="7.20703125" customWidth="1"/>
    <col min="13" max="13" width="7.1015625" customWidth="1"/>
    <col min="14" max="14" width="1.5234375" customWidth="1"/>
    <col min="15" max="16" width="8" customWidth="1"/>
    <col min="17" max="17" width="7.68359375" customWidth="1"/>
    <col min="18" max="18" width="7.7890625" customWidth="1"/>
    <col min="19" max="19" width="8" customWidth="1"/>
  </cols>
  <sheetData>
    <row r="1" spans="1:19" x14ac:dyDescent="0.55000000000000004">
      <c r="A1" s="11" t="s">
        <v>65</v>
      </c>
      <c r="B1" s="11"/>
    </row>
    <row r="2" spans="1:19" x14ac:dyDescent="0.55000000000000004">
      <c r="A2" s="6"/>
      <c r="B2" s="17" t="s">
        <v>63</v>
      </c>
      <c r="C2" s="17"/>
      <c r="D2" s="17"/>
      <c r="E2" s="17"/>
      <c r="F2" s="17"/>
      <c r="H2" s="6"/>
      <c r="I2" s="17" t="s">
        <v>69</v>
      </c>
      <c r="J2" s="17"/>
      <c r="K2" s="17"/>
      <c r="L2" s="17"/>
      <c r="M2" s="17"/>
      <c r="O2" s="17" t="s">
        <v>70</v>
      </c>
      <c r="P2" s="17"/>
      <c r="Q2" s="17"/>
      <c r="R2" s="17"/>
      <c r="S2" s="17"/>
    </row>
    <row r="3" spans="1:19" x14ac:dyDescent="0.55000000000000004">
      <c r="A3" s="9" t="s">
        <v>36</v>
      </c>
      <c r="B3" s="10" t="s">
        <v>42</v>
      </c>
      <c r="C3" s="10" t="s">
        <v>43</v>
      </c>
      <c r="D3" s="10" t="s">
        <v>44</v>
      </c>
      <c r="E3" s="10" t="s">
        <v>45</v>
      </c>
      <c r="F3" s="10" t="s">
        <v>46</v>
      </c>
      <c r="G3" s="5"/>
      <c r="H3" s="10" t="s">
        <v>60</v>
      </c>
      <c r="I3" s="10" t="s">
        <v>42</v>
      </c>
      <c r="J3" s="10" t="s">
        <v>43</v>
      </c>
      <c r="K3" s="10" t="s">
        <v>44</v>
      </c>
      <c r="L3" s="10" t="s">
        <v>45</v>
      </c>
      <c r="M3" s="10" t="s">
        <v>46</v>
      </c>
      <c r="N3" s="5"/>
      <c r="O3" s="10" t="s">
        <v>42</v>
      </c>
      <c r="P3" s="10" t="s">
        <v>43</v>
      </c>
      <c r="Q3" s="10" t="s">
        <v>44</v>
      </c>
      <c r="R3" s="10" t="s">
        <v>45</v>
      </c>
      <c r="S3" s="10" t="s">
        <v>46</v>
      </c>
    </row>
    <row r="4" spans="1:19" x14ac:dyDescent="0.55000000000000004">
      <c r="A4" t="s">
        <v>37</v>
      </c>
      <c r="B4" s="7">
        <f>B39^2</f>
        <v>0.33572753640000003</v>
      </c>
      <c r="C4" s="8">
        <f>B44</f>
        <v>0.94948999999999995</v>
      </c>
      <c r="D4" s="8">
        <f>B45</f>
        <v>0.97494000000000003</v>
      </c>
      <c r="E4" s="8">
        <f>B47</f>
        <v>0.97204000000000002</v>
      </c>
      <c r="F4" s="8">
        <f>B50</f>
        <v>0.96213000000000004</v>
      </c>
      <c r="G4" s="2"/>
      <c r="I4" s="7">
        <f>B4</f>
        <v>0.33572753640000003</v>
      </c>
      <c r="J4" s="8">
        <f t="shared" ref="J4:M4" si="0">C4</f>
        <v>0.94948999999999995</v>
      </c>
      <c r="K4" s="8">
        <f t="shared" si="0"/>
        <v>0.97494000000000003</v>
      </c>
      <c r="L4" s="8">
        <f t="shared" si="0"/>
        <v>0.97204000000000002</v>
      </c>
      <c r="M4" s="8">
        <f t="shared" si="0"/>
        <v>0.96213000000000004</v>
      </c>
      <c r="O4" s="4">
        <f>I4/I21</f>
        <v>0.95019677729352414</v>
      </c>
      <c r="P4" s="4"/>
      <c r="Q4" s="4"/>
      <c r="R4" s="4"/>
      <c r="S4" s="4"/>
    </row>
    <row r="5" spans="1:19" x14ac:dyDescent="0.55000000000000004">
      <c r="A5" t="s">
        <v>41</v>
      </c>
      <c r="B5" s="8">
        <f>B77</f>
        <v>0.31347000000000003</v>
      </c>
      <c r="C5" s="7">
        <f>B40^2</f>
        <v>0.32146632040000006</v>
      </c>
      <c r="D5" s="8">
        <f>B46</f>
        <v>0.96443000000000001</v>
      </c>
      <c r="E5" s="8">
        <f>B48</f>
        <v>0.9738</v>
      </c>
      <c r="F5" s="8">
        <f>B51</f>
        <v>0.96265999999999996</v>
      </c>
      <c r="G5" s="2"/>
      <c r="I5" s="8">
        <f>B5</f>
        <v>0.31347000000000003</v>
      </c>
      <c r="J5" s="7">
        <f t="shared" ref="J5:M8" si="1">C5</f>
        <v>0.32146632040000006</v>
      </c>
      <c r="K5" s="8">
        <f t="shared" si="1"/>
        <v>0.96443000000000001</v>
      </c>
      <c r="L5" s="8">
        <f t="shared" si="1"/>
        <v>0.9738</v>
      </c>
      <c r="M5" s="8">
        <f t="shared" si="1"/>
        <v>0.96265999999999996</v>
      </c>
      <c r="O5" s="4"/>
      <c r="P5" s="4">
        <f>J5/J21</f>
        <v>0.94519250612759187</v>
      </c>
      <c r="Q5" s="4"/>
      <c r="R5" s="4"/>
      <c r="S5" s="4"/>
    </row>
    <row r="6" spans="1:19" x14ac:dyDescent="0.55000000000000004">
      <c r="A6" t="s">
        <v>38</v>
      </c>
      <c r="B6" s="8">
        <f>B78</f>
        <v>0.32495000000000002</v>
      </c>
      <c r="C6" s="8">
        <f>B87</f>
        <v>0.31453999999999999</v>
      </c>
      <c r="D6" s="7">
        <f>B41^2</f>
        <v>0.32774480010000007</v>
      </c>
      <c r="E6" s="8">
        <f>B49</f>
        <v>0.96919999999999995</v>
      </c>
      <c r="F6" s="8">
        <f>B52</f>
        <v>0.96257999999999999</v>
      </c>
      <c r="G6" s="2"/>
      <c r="I6" s="8">
        <f>B6</f>
        <v>0.32495000000000002</v>
      </c>
      <c r="J6" s="8">
        <f t="shared" si="1"/>
        <v>0.31453999999999999</v>
      </c>
      <c r="K6" s="7">
        <f t="shared" si="1"/>
        <v>0.32774480010000007</v>
      </c>
      <c r="L6" s="8">
        <f t="shared" si="1"/>
        <v>0.96919999999999995</v>
      </c>
      <c r="M6" s="8">
        <f t="shared" si="1"/>
        <v>0.96257999999999999</v>
      </c>
      <c r="O6" s="4"/>
      <c r="P6" s="4"/>
      <c r="Q6" s="4">
        <f>K6/K21</f>
        <v>0.94811273144219432</v>
      </c>
      <c r="R6" s="4"/>
      <c r="S6" s="4"/>
    </row>
    <row r="7" spans="1:19" x14ac:dyDescent="0.55000000000000004">
      <c r="A7" t="s">
        <v>39</v>
      </c>
      <c r="B7" s="8">
        <f>B79</f>
        <v>0.32805000000000001</v>
      </c>
      <c r="C7" s="8">
        <f>B88</f>
        <v>0.32158999999999999</v>
      </c>
      <c r="D7" s="8">
        <f>B97</f>
        <v>0.32318000000000002</v>
      </c>
      <c r="E7" s="7">
        <f>B42^2</f>
        <v>0.33600571559999992</v>
      </c>
      <c r="F7" s="8">
        <f>B53</f>
        <v>0.97965999999999998</v>
      </c>
      <c r="G7" s="2"/>
      <c r="I7" s="8">
        <f>B7</f>
        <v>0.32805000000000001</v>
      </c>
      <c r="J7" s="8">
        <f t="shared" si="1"/>
        <v>0.32158999999999999</v>
      </c>
      <c r="K7" s="8">
        <f t="shared" si="1"/>
        <v>0.32318000000000002</v>
      </c>
      <c r="L7" s="7">
        <f t="shared" si="1"/>
        <v>0.33600571559999992</v>
      </c>
      <c r="M7" s="8">
        <f t="shared" si="1"/>
        <v>0.97965999999999998</v>
      </c>
      <c r="O7" s="4"/>
      <c r="P7" s="4"/>
      <c r="Q7" s="4"/>
      <c r="R7" s="4">
        <f>L7/L21</f>
        <v>0.93825690452013588</v>
      </c>
      <c r="S7" s="4"/>
    </row>
    <row r="8" spans="1:19" x14ac:dyDescent="0.55000000000000004">
      <c r="A8" t="s">
        <v>40</v>
      </c>
      <c r="B8" s="8">
        <f>B80</f>
        <v>0.30993999999999999</v>
      </c>
      <c r="C8" s="8">
        <f>B89</f>
        <v>0.30345</v>
      </c>
      <c r="D8" s="8">
        <f>B98</f>
        <v>0.30637999999999999</v>
      </c>
      <c r="E8" s="8">
        <f>B107</f>
        <v>0.31568000000000002</v>
      </c>
      <c r="F8" s="7">
        <f>B43^2</f>
        <v>0.30614089</v>
      </c>
      <c r="G8" s="3"/>
      <c r="I8" s="8">
        <f>B8</f>
        <v>0.30993999999999999</v>
      </c>
      <c r="J8" s="8">
        <f t="shared" si="1"/>
        <v>0.30345</v>
      </c>
      <c r="K8" s="8">
        <f t="shared" si="1"/>
        <v>0.30637999999999999</v>
      </c>
      <c r="L8" s="8">
        <f t="shared" si="1"/>
        <v>0.31568000000000002</v>
      </c>
      <c r="M8" s="7">
        <f t="shared" si="1"/>
        <v>0.30614089</v>
      </c>
      <c r="O8" s="4"/>
      <c r="P8" s="4"/>
      <c r="Q8" s="4"/>
      <c r="R8" s="4"/>
      <c r="S8" s="4">
        <f>M8/M21</f>
        <v>0.94559669005020874</v>
      </c>
    </row>
    <row r="9" spans="1:19" x14ac:dyDescent="0.55000000000000004">
      <c r="B9" s="8"/>
      <c r="C9" s="8"/>
      <c r="D9" s="8"/>
      <c r="E9" s="8"/>
      <c r="F9" s="7"/>
      <c r="G9" s="3"/>
      <c r="I9" s="8"/>
      <c r="J9" s="8"/>
      <c r="K9" s="8"/>
      <c r="L9" s="8"/>
      <c r="M9" s="8"/>
      <c r="O9" s="4"/>
      <c r="P9" s="4"/>
      <c r="Q9" s="4"/>
      <c r="R9" s="4"/>
      <c r="S9" s="4"/>
    </row>
    <row r="10" spans="1:19" x14ac:dyDescent="0.55000000000000004">
      <c r="A10" t="s">
        <v>55</v>
      </c>
      <c r="B10" s="7">
        <f>B65^2</f>
        <v>8.7983424399999996E-2</v>
      </c>
      <c r="C10" s="8"/>
      <c r="D10" s="8"/>
      <c r="E10" s="8"/>
      <c r="F10" s="7"/>
      <c r="G10" s="3"/>
      <c r="H10" s="5">
        <v>5</v>
      </c>
      <c r="I10" s="7">
        <f>B10/H10</f>
        <v>1.7596684879999998E-2</v>
      </c>
      <c r="J10" s="8"/>
      <c r="K10" s="8"/>
      <c r="L10" s="8"/>
      <c r="M10" s="8"/>
      <c r="O10" s="4">
        <f>I10/I21</f>
        <v>4.9803222706475858E-2</v>
      </c>
      <c r="P10" s="4"/>
      <c r="Q10" s="4"/>
      <c r="R10" s="4"/>
      <c r="S10" s="4"/>
    </row>
    <row r="11" spans="1:19" x14ac:dyDescent="0.55000000000000004">
      <c r="A11" t="s">
        <v>56</v>
      </c>
      <c r="B11" s="8"/>
      <c r="C11" s="7">
        <f>B66^2</f>
        <v>9.320198410000001E-2</v>
      </c>
      <c r="D11" s="8"/>
      <c r="E11" s="8"/>
      <c r="F11" s="7"/>
      <c r="G11" s="3"/>
      <c r="H11" s="5">
        <v>5</v>
      </c>
      <c r="I11" s="8"/>
      <c r="J11" s="7">
        <f>C11/H11</f>
        <v>1.8640396820000002E-2</v>
      </c>
      <c r="K11" s="8"/>
      <c r="L11" s="8"/>
      <c r="M11" s="8"/>
      <c r="O11" s="4"/>
      <c r="P11" s="4">
        <f>J11/J21</f>
        <v>5.4807493872408138E-2</v>
      </c>
      <c r="Q11" s="4"/>
      <c r="R11" s="4"/>
      <c r="S11" s="4"/>
    </row>
    <row r="12" spans="1:19" x14ac:dyDescent="0.55000000000000004">
      <c r="A12" t="s">
        <v>57</v>
      </c>
      <c r="B12" s="8"/>
      <c r="C12" s="8"/>
      <c r="D12" s="7">
        <f>B67^2</f>
        <v>8.9682280900000008E-2</v>
      </c>
      <c r="E12" s="8"/>
      <c r="F12" s="7"/>
      <c r="G12" s="3"/>
      <c r="H12" s="5">
        <v>5</v>
      </c>
      <c r="I12" s="8"/>
      <c r="J12" s="8"/>
      <c r="K12" s="7">
        <f>D12/H12</f>
        <v>1.7936456180000001E-2</v>
      </c>
      <c r="L12" s="8"/>
      <c r="M12" s="8"/>
      <c r="O12" s="4"/>
      <c r="P12" s="4"/>
      <c r="Q12" s="4">
        <f>K12/K21</f>
        <v>5.1887268557805642E-2</v>
      </c>
      <c r="R12" s="4"/>
      <c r="S12" s="4"/>
    </row>
    <row r="13" spans="1:19" x14ac:dyDescent="0.55000000000000004">
      <c r="A13" t="s">
        <v>58</v>
      </c>
      <c r="B13" s="8"/>
      <c r="C13" s="8"/>
      <c r="D13" s="8"/>
      <c r="E13" s="7">
        <f>B68^2</f>
        <v>0.11055625000000001</v>
      </c>
      <c r="F13" s="7"/>
      <c r="G13" s="3"/>
      <c r="H13" s="5">
        <v>5</v>
      </c>
      <c r="I13" s="8"/>
      <c r="J13" s="8"/>
      <c r="K13" s="8"/>
      <c r="L13" s="7">
        <f>E13/H13</f>
        <v>2.2111250000000002E-2</v>
      </c>
      <c r="M13" s="8"/>
      <c r="O13" s="4"/>
      <c r="P13" s="4"/>
      <c r="Q13" s="4"/>
      <c r="R13" s="4">
        <f>L13/L21</f>
        <v>6.1743095479864098E-2</v>
      </c>
      <c r="S13" s="4"/>
    </row>
    <row r="14" spans="1:19" x14ac:dyDescent="0.55000000000000004">
      <c r="A14" t="s">
        <v>59</v>
      </c>
      <c r="B14" s="8"/>
      <c r="C14" s="8"/>
      <c r="D14" s="8"/>
      <c r="E14" s="8"/>
      <c r="F14" s="7">
        <f>B69^2</f>
        <v>8.8066497600000015E-2</v>
      </c>
      <c r="G14" s="3"/>
      <c r="H14" s="5">
        <v>5</v>
      </c>
      <c r="I14" s="8"/>
      <c r="J14" s="8"/>
      <c r="K14" s="8"/>
      <c r="L14" s="8"/>
      <c r="M14" s="7">
        <f>F14/H14</f>
        <v>1.7613299520000004E-2</v>
      </c>
      <c r="O14" s="4"/>
      <c r="P14" s="4"/>
      <c r="Q14" s="4"/>
      <c r="R14" s="4"/>
      <c r="S14" s="4">
        <f>M14/M21</f>
        <v>5.4403309949791201E-2</v>
      </c>
    </row>
    <row r="15" spans="1:19" x14ac:dyDescent="0.55000000000000004">
      <c r="B15" s="8"/>
      <c r="C15" s="8"/>
      <c r="D15" s="8"/>
      <c r="E15" s="8"/>
      <c r="F15" s="7"/>
      <c r="G15" s="3"/>
      <c r="I15" s="8"/>
      <c r="J15" s="8"/>
      <c r="K15" s="8"/>
      <c r="L15" s="8"/>
      <c r="M15" s="8"/>
    </row>
    <row r="16" spans="1:19" x14ac:dyDescent="0.55000000000000004">
      <c r="A16" t="s">
        <v>50</v>
      </c>
      <c r="B16" s="7">
        <f>B31^2</f>
        <v>2.7221700099999999E-2</v>
      </c>
      <c r="C16" s="8"/>
      <c r="D16" s="8"/>
      <c r="E16" s="8"/>
      <c r="F16" s="7"/>
      <c r="G16" s="3"/>
      <c r="I16" s="8"/>
      <c r="J16" s="8"/>
      <c r="K16" s="8"/>
      <c r="L16" s="8"/>
      <c r="M16" s="8"/>
    </row>
    <row r="17" spans="1:19" x14ac:dyDescent="0.55000000000000004">
      <c r="A17" t="s">
        <v>51</v>
      </c>
      <c r="B17" s="8"/>
      <c r="C17" s="7">
        <f>B32^2</f>
        <v>3.8659424399999996E-2</v>
      </c>
      <c r="D17" s="8"/>
      <c r="E17" s="8"/>
      <c r="F17" s="7"/>
      <c r="G17" s="3"/>
      <c r="I17" s="8"/>
      <c r="J17" s="8"/>
      <c r="K17" s="8"/>
      <c r="L17" s="8"/>
      <c r="M17" s="8"/>
    </row>
    <row r="18" spans="1:19" x14ac:dyDescent="0.55000000000000004">
      <c r="A18" t="s">
        <v>52</v>
      </c>
      <c r="B18" s="8"/>
      <c r="C18" s="8"/>
      <c r="D18" s="7">
        <f>B33^2</f>
        <v>0.14474981160000003</v>
      </c>
      <c r="E18" s="8"/>
      <c r="F18" s="7"/>
      <c r="G18" s="3"/>
      <c r="I18" s="8"/>
      <c r="J18" s="8"/>
      <c r="K18" s="8"/>
      <c r="L18" s="8"/>
      <c r="M18" s="8"/>
    </row>
    <row r="19" spans="1:19" x14ac:dyDescent="0.55000000000000004">
      <c r="A19" t="s">
        <v>53</v>
      </c>
      <c r="B19" s="8"/>
      <c r="C19" s="8"/>
      <c r="D19" s="8"/>
      <c r="E19" s="7">
        <f>B34^2</f>
        <v>0.20948928999999999</v>
      </c>
      <c r="F19" s="7"/>
      <c r="G19" s="3"/>
      <c r="I19" s="8"/>
      <c r="J19" s="8"/>
      <c r="K19" s="8"/>
      <c r="L19" s="8"/>
      <c r="M19" s="8"/>
    </row>
    <row r="20" spans="1:19" x14ac:dyDescent="0.55000000000000004">
      <c r="A20" t="s">
        <v>54</v>
      </c>
      <c r="B20" s="8"/>
      <c r="C20" s="8"/>
      <c r="D20" s="8"/>
      <c r="E20" s="8"/>
      <c r="F20" s="7">
        <f>B35^2</f>
        <v>0.19772251560000001</v>
      </c>
      <c r="G20" s="3"/>
      <c r="I20" s="8"/>
      <c r="J20" s="8"/>
      <c r="K20" s="8"/>
      <c r="L20" s="8"/>
      <c r="M20" s="8"/>
    </row>
    <row r="21" spans="1:19" x14ac:dyDescent="0.55000000000000004">
      <c r="A21" s="13" t="s">
        <v>61</v>
      </c>
      <c r="B21" s="14"/>
      <c r="C21" s="14"/>
      <c r="D21" s="14"/>
      <c r="E21" s="14"/>
      <c r="F21" s="15"/>
      <c r="G21" s="15"/>
      <c r="H21" s="13"/>
      <c r="I21" s="16">
        <f>SUM(I4,I10)</f>
        <v>0.35332422128000002</v>
      </c>
      <c r="J21" s="16">
        <f>SUM(J5,J11)</f>
        <v>0.34010671722000008</v>
      </c>
      <c r="K21" s="16">
        <f>SUM(K6,K12)</f>
        <v>0.34568125628000007</v>
      </c>
      <c r="L21" s="16">
        <f>SUM(L7,L13)</f>
        <v>0.35811696559999995</v>
      </c>
      <c r="M21" s="16">
        <f>SUM(M8,M14)</f>
        <v>0.32375418952000001</v>
      </c>
      <c r="N21" s="13"/>
      <c r="O21" s="13"/>
      <c r="P21" s="13"/>
      <c r="Q21" s="13"/>
      <c r="R21" s="13"/>
      <c r="S21" s="13"/>
    </row>
    <row r="22" spans="1:19" x14ac:dyDescent="0.55000000000000004">
      <c r="A22" t="s">
        <v>62</v>
      </c>
      <c r="I22" s="8">
        <f>I4/SUM(I4,I10)</f>
        <v>0.95019677729352414</v>
      </c>
      <c r="J22" s="8">
        <f>J5/SUM(J5,J11)</f>
        <v>0.94519250612759187</v>
      </c>
      <c r="K22" s="8">
        <f>K6/SUM(K6,K12)</f>
        <v>0.94811273144219432</v>
      </c>
      <c r="L22" s="8">
        <f>L7/SUM(L7,L13)</f>
        <v>0.93825690452013588</v>
      </c>
      <c r="M22" s="8">
        <f>M8/SUM(M8,M14)</f>
        <v>0.94559669005020874</v>
      </c>
    </row>
    <row r="23" spans="1:19" x14ac:dyDescent="0.55000000000000004">
      <c r="A23" s="13" t="s">
        <v>71</v>
      </c>
      <c r="B23" s="13"/>
      <c r="C23" s="13"/>
      <c r="D23" s="13"/>
      <c r="E23" s="13"/>
      <c r="F23" s="13"/>
      <c r="G23" s="13"/>
      <c r="H23" s="13"/>
      <c r="I23" s="14"/>
      <c r="J23" s="14"/>
      <c r="K23" s="14"/>
      <c r="L23" s="14"/>
      <c r="M23" s="14"/>
      <c r="N23" s="13"/>
      <c r="O23" s="13"/>
      <c r="P23" s="13"/>
      <c r="Q23" s="13"/>
      <c r="R23" s="13"/>
      <c r="S23" s="13"/>
    </row>
    <row r="24" spans="1:19" x14ac:dyDescent="0.55000000000000004">
      <c r="A24" t="s">
        <v>64</v>
      </c>
      <c r="I24" s="2"/>
      <c r="J24" s="2"/>
      <c r="K24" s="2"/>
      <c r="L24" s="2"/>
      <c r="M24" s="2"/>
    </row>
    <row r="25" spans="1:19" x14ac:dyDescent="0.55000000000000004">
      <c r="A25" t="s">
        <v>67</v>
      </c>
      <c r="I25" s="2"/>
      <c r="J25" s="2"/>
      <c r="K25" s="2"/>
      <c r="L25" s="2"/>
      <c r="M25" s="2"/>
    </row>
    <row r="26" spans="1:19" x14ac:dyDescent="0.55000000000000004">
      <c r="A26" s="6" t="s">
        <v>68</v>
      </c>
      <c r="B26" s="6"/>
      <c r="C26" s="6"/>
      <c r="D26" s="6"/>
      <c r="E26" s="6"/>
      <c r="F26" s="6"/>
      <c r="G26" s="6"/>
      <c r="H26" s="6"/>
      <c r="I26" s="12"/>
      <c r="J26" s="12"/>
      <c r="K26" s="12"/>
      <c r="L26" s="12"/>
      <c r="M26" s="12"/>
      <c r="N26" s="6"/>
      <c r="O26" s="6"/>
      <c r="P26" s="6"/>
      <c r="Q26" s="6"/>
      <c r="R26" s="6"/>
      <c r="S26" s="6"/>
    </row>
    <row r="27" spans="1:19" x14ac:dyDescent="0.55000000000000004">
      <c r="A27" s="11" t="s">
        <v>66</v>
      </c>
      <c r="I27" s="2"/>
      <c r="J27" s="2"/>
      <c r="K27" s="2"/>
      <c r="L27" s="2"/>
      <c r="M27" s="2"/>
    </row>
    <row r="28" spans="1:19" x14ac:dyDescent="0.55000000000000004">
      <c r="I28" s="2"/>
      <c r="J28" s="2"/>
      <c r="K28" s="2"/>
      <c r="L28" s="2"/>
      <c r="M28" s="2"/>
    </row>
    <row r="29" spans="1:19" x14ac:dyDescent="0.55000000000000004">
      <c r="A29" t="s">
        <v>30</v>
      </c>
    </row>
    <row r="30" spans="1:19" x14ac:dyDescent="0.55000000000000004">
      <c r="B30" t="s">
        <v>0</v>
      </c>
      <c r="C30" t="s">
        <v>1</v>
      </c>
      <c r="D30" t="s">
        <v>31</v>
      </c>
      <c r="E30" t="s">
        <v>32</v>
      </c>
      <c r="F30" t="s">
        <v>2</v>
      </c>
      <c r="H30" t="s">
        <v>3</v>
      </c>
      <c r="I30" t="s">
        <v>4</v>
      </c>
    </row>
    <row r="31" spans="1:19" x14ac:dyDescent="0.55000000000000004">
      <c r="A31" t="s">
        <v>5</v>
      </c>
      <c r="B31">
        <v>0.16499</v>
      </c>
      <c r="C31">
        <v>0.10743</v>
      </c>
      <c r="D31">
        <v>6.3890000000000002E-2</v>
      </c>
      <c r="E31">
        <v>0.44391999999999998</v>
      </c>
      <c r="F31">
        <v>1.0037700000000001</v>
      </c>
      <c r="H31">
        <v>1525</v>
      </c>
      <c r="I31">
        <v>1796</v>
      </c>
    </row>
    <row r="32" spans="1:19" x14ac:dyDescent="0.55000000000000004">
      <c r="A32" t="s">
        <v>6</v>
      </c>
      <c r="B32">
        <v>0.19661999999999999</v>
      </c>
      <c r="C32">
        <v>0.12640000000000001</v>
      </c>
      <c r="D32">
        <v>7.7609999999999998E-2</v>
      </c>
      <c r="E32">
        <v>0.52329000000000003</v>
      </c>
      <c r="F32">
        <v>1.00129</v>
      </c>
      <c r="H32">
        <v>1271</v>
      </c>
      <c r="I32">
        <v>1723</v>
      </c>
    </row>
    <row r="33" spans="1:9" x14ac:dyDescent="0.55000000000000004">
      <c r="A33" t="s">
        <v>7</v>
      </c>
      <c r="B33">
        <v>0.38046000000000002</v>
      </c>
      <c r="C33">
        <v>0.23533000000000001</v>
      </c>
      <c r="D33">
        <v>0.15795999999999999</v>
      </c>
      <c r="E33">
        <v>1.0137799999999999</v>
      </c>
      <c r="F33">
        <v>1.00217</v>
      </c>
      <c r="H33">
        <v>1288</v>
      </c>
      <c r="I33">
        <v>1743</v>
      </c>
    </row>
    <row r="34" spans="1:9" x14ac:dyDescent="0.55000000000000004">
      <c r="A34" t="s">
        <v>8</v>
      </c>
      <c r="B34">
        <v>0.4577</v>
      </c>
      <c r="C34">
        <v>0.26401000000000002</v>
      </c>
      <c r="D34">
        <v>0.19120000000000001</v>
      </c>
      <c r="E34">
        <v>1.1652</v>
      </c>
      <c r="F34">
        <v>1.00038</v>
      </c>
      <c r="H34">
        <v>1348</v>
      </c>
      <c r="I34">
        <v>2089</v>
      </c>
    </row>
    <row r="35" spans="1:9" x14ac:dyDescent="0.55000000000000004">
      <c r="A35" t="s">
        <v>9</v>
      </c>
      <c r="B35">
        <v>0.44466</v>
      </c>
      <c r="C35">
        <v>0.27102999999999999</v>
      </c>
      <c r="D35">
        <v>0.18748999999999999</v>
      </c>
      <c r="E35">
        <v>1.1640200000000001</v>
      </c>
      <c r="F35">
        <v>1.00125</v>
      </c>
      <c r="H35">
        <v>1508</v>
      </c>
      <c r="I35">
        <v>2368</v>
      </c>
    </row>
    <row r="37" spans="1:9" x14ac:dyDescent="0.55000000000000004">
      <c r="A37" t="s">
        <v>33</v>
      </c>
    </row>
    <row r="38" spans="1:9" x14ac:dyDescent="0.55000000000000004">
      <c r="B38" t="s">
        <v>0</v>
      </c>
      <c r="C38" t="s">
        <v>1</v>
      </c>
      <c r="D38" t="s">
        <v>31</v>
      </c>
      <c r="E38" t="s">
        <v>32</v>
      </c>
      <c r="F38" t="s">
        <v>2</v>
      </c>
      <c r="H38" t="s">
        <v>3</v>
      </c>
      <c r="I38" t="s">
        <v>4</v>
      </c>
    </row>
    <row r="39" spans="1:9" x14ac:dyDescent="0.55000000000000004">
      <c r="A39" t="s">
        <v>5</v>
      </c>
      <c r="B39">
        <v>0.57942000000000005</v>
      </c>
      <c r="C39">
        <v>4.1050000000000003E-2</v>
      </c>
      <c r="D39">
        <v>0.50502000000000002</v>
      </c>
      <c r="E39">
        <v>0.66666000000000003</v>
      </c>
      <c r="F39">
        <v>1.0013399999999999</v>
      </c>
      <c r="H39">
        <v>519</v>
      </c>
      <c r="I39">
        <v>646</v>
      </c>
    </row>
    <row r="40" spans="1:9" x14ac:dyDescent="0.55000000000000004">
      <c r="A40" t="s">
        <v>6</v>
      </c>
      <c r="B40">
        <v>0.56698000000000004</v>
      </c>
      <c r="C40">
        <v>4.0599999999999997E-2</v>
      </c>
      <c r="D40">
        <v>0.49142999999999998</v>
      </c>
      <c r="E40">
        <v>0.64961999999999998</v>
      </c>
      <c r="F40">
        <v>1.0039499999999999</v>
      </c>
      <c r="H40">
        <v>564</v>
      </c>
      <c r="I40">
        <v>824</v>
      </c>
    </row>
    <row r="41" spans="1:9" x14ac:dyDescent="0.55000000000000004">
      <c r="A41" t="s">
        <v>7</v>
      </c>
      <c r="B41">
        <v>0.57249000000000005</v>
      </c>
      <c r="C41">
        <v>4.0719999999999999E-2</v>
      </c>
      <c r="D41">
        <v>0.49740000000000001</v>
      </c>
      <c r="E41">
        <v>0.65756000000000003</v>
      </c>
      <c r="F41">
        <v>1.00271</v>
      </c>
      <c r="H41">
        <v>530</v>
      </c>
      <c r="I41">
        <v>811</v>
      </c>
    </row>
    <row r="42" spans="1:9" x14ac:dyDescent="0.55000000000000004">
      <c r="A42" t="s">
        <v>8</v>
      </c>
      <c r="B42">
        <v>0.57965999999999995</v>
      </c>
      <c r="C42">
        <v>4.1840000000000002E-2</v>
      </c>
      <c r="D42">
        <v>0.50253999999999999</v>
      </c>
      <c r="E42">
        <v>0.66735</v>
      </c>
      <c r="F42">
        <v>1.00282</v>
      </c>
      <c r="H42">
        <v>532</v>
      </c>
      <c r="I42">
        <v>710</v>
      </c>
    </row>
    <row r="43" spans="1:9" x14ac:dyDescent="0.55000000000000004">
      <c r="A43" t="s">
        <v>9</v>
      </c>
      <c r="B43">
        <v>0.55330000000000001</v>
      </c>
      <c r="C43">
        <v>3.9370000000000002E-2</v>
      </c>
      <c r="D43">
        <v>0.47926999999999997</v>
      </c>
      <c r="E43">
        <v>0.63460000000000005</v>
      </c>
      <c r="F43">
        <v>1.0024599999999999</v>
      </c>
      <c r="H43">
        <v>539</v>
      </c>
      <c r="I43">
        <v>738</v>
      </c>
    </row>
    <row r="44" spans="1:9" x14ac:dyDescent="0.55000000000000004">
      <c r="A44" t="s">
        <v>10</v>
      </c>
      <c r="B44" s="1">
        <v>0.94948999999999995</v>
      </c>
      <c r="C44">
        <v>1.7600000000000001E-2</v>
      </c>
      <c r="D44">
        <v>0.90976999999999997</v>
      </c>
      <c r="E44">
        <v>0.97772999999999999</v>
      </c>
      <c r="F44">
        <v>1.0014000000000001</v>
      </c>
      <c r="H44">
        <v>1017</v>
      </c>
      <c r="I44">
        <v>1916</v>
      </c>
    </row>
    <row r="45" spans="1:9" x14ac:dyDescent="0.55000000000000004">
      <c r="A45" t="s">
        <v>11</v>
      </c>
      <c r="B45">
        <v>0.97494000000000003</v>
      </c>
      <c r="C45">
        <v>1.188E-2</v>
      </c>
      <c r="D45">
        <v>0.94672999999999996</v>
      </c>
      <c r="E45">
        <v>0.99339</v>
      </c>
      <c r="F45">
        <v>1.00244</v>
      </c>
      <c r="H45">
        <v>1064</v>
      </c>
      <c r="I45">
        <v>1689</v>
      </c>
    </row>
    <row r="46" spans="1:9" x14ac:dyDescent="0.55000000000000004">
      <c r="A46" t="s">
        <v>12</v>
      </c>
      <c r="B46">
        <v>0.96443000000000001</v>
      </c>
      <c r="C46">
        <v>1.438E-2</v>
      </c>
      <c r="D46">
        <v>0.93008000000000002</v>
      </c>
      <c r="E46">
        <v>0.98743000000000003</v>
      </c>
      <c r="F46">
        <v>1.0009699999999999</v>
      </c>
      <c r="H46">
        <v>1580</v>
      </c>
      <c r="I46">
        <v>2712</v>
      </c>
    </row>
    <row r="47" spans="1:9" x14ac:dyDescent="0.55000000000000004">
      <c r="A47" t="s">
        <v>13</v>
      </c>
      <c r="B47">
        <v>0.97204000000000002</v>
      </c>
      <c r="C47">
        <v>1.261E-2</v>
      </c>
      <c r="D47">
        <v>0.94259000000000004</v>
      </c>
      <c r="E47">
        <v>0.99109000000000003</v>
      </c>
      <c r="F47">
        <v>1.00421</v>
      </c>
      <c r="H47">
        <v>1245</v>
      </c>
      <c r="I47">
        <v>2182</v>
      </c>
    </row>
    <row r="48" spans="1:9" x14ac:dyDescent="0.55000000000000004">
      <c r="A48" t="s">
        <v>14</v>
      </c>
      <c r="B48">
        <v>0.9738</v>
      </c>
      <c r="C48">
        <v>1.24E-2</v>
      </c>
      <c r="D48">
        <v>0.94462999999999997</v>
      </c>
      <c r="E48">
        <v>0.99248999999999998</v>
      </c>
      <c r="F48">
        <v>1.0028300000000001</v>
      </c>
      <c r="H48">
        <v>1390</v>
      </c>
      <c r="I48">
        <v>2444</v>
      </c>
    </row>
    <row r="49" spans="1:9" x14ac:dyDescent="0.55000000000000004">
      <c r="A49" t="s">
        <v>15</v>
      </c>
      <c r="B49">
        <v>0.96919999999999995</v>
      </c>
      <c r="C49">
        <v>1.379E-2</v>
      </c>
      <c r="D49">
        <v>0.93645999999999996</v>
      </c>
      <c r="E49">
        <v>0.99080000000000001</v>
      </c>
      <c r="F49">
        <v>1.0016400000000001</v>
      </c>
      <c r="H49">
        <v>1552</v>
      </c>
      <c r="I49">
        <v>2391</v>
      </c>
    </row>
    <row r="50" spans="1:9" x14ac:dyDescent="0.55000000000000004">
      <c r="A50" t="s">
        <v>16</v>
      </c>
      <c r="B50">
        <v>0.96213000000000004</v>
      </c>
      <c r="C50">
        <v>1.494E-2</v>
      </c>
      <c r="D50">
        <v>0.92830000000000001</v>
      </c>
      <c r="E50">
        <v>0.98599999999999999</v>
      </c>
      <c r="F50">
        <v>1.00492</v>
      </c>
      <c r="H50">
        <v>871</v>
      </c>
      <c r="I50">
        <v>1470</v>
      </c>
    </row>
    <row r="51" spans="1:9" x14ac:dyDescent="0.55000000000000004">
      <c r="A51" t="s">
        <v>17</v>
      </c>
      <c r="B51">
        <v>0.96265999999999996</v>
      </c>
      <c r="C51">
        <v>1.477E-2</v>
      </c>
      <c r="D51">
        <v>0.92950999999999995</v>
      </c>
      <c r="E51">
        <v>0.98636000000000001</v>
      </c>
      <c r="F51">
        <v>1.0044299999999999</v>
      </c>
      <c r="H51">
        <v>1264</v>
      </c>
      <c r="I51">
        <v>1785</v>
      </c>
    </row>
    <row r="52" spans="1:9" x14ac:dyDescent="0.55000000000000004">
      <c r="A52" t="s">
        <v>18</v>
      </c>
      <c r="B52">
        <v>0.96257999999999999</v>
      </c>
      <c r="C52">
        <v>1.523E-2</v>
      </c>
      <c r="D52">
        <v>0.92779999999999996</v>
      </c>
      <c r="E52">
        <v>0.98687999999999998</v>
      </c>
      <c r="F52">
        <v>1.00169</v>
      </c>
      <c r="H52">
        <v>1166</v>
      </c>
      <c r="I52">
        <v>1957</v>
      </c>
    </row>
    <row r="53" spans="1:9" x14ac:dyDescent="0.55000000000000004">
      <c r="A53" t="s">
        <v>19</v>
      </c>
      <c r="B53">
        <v>0.97965999999999998</v>
      </c>
      <c r="C53">
        <v>1.1039999999999999E-2</v>
      </c>
      <c r="D53">
        <v>0.95403000000000004</v>
      </c>
      <c r="E53">
        <v>0.99575999999999998</v>
      </c>
      <c r="F53">
        <v>1.0016</v>
      </c>
      <c r="H53">
        <v>1067</v>
      </c>
      <c r="I53">
        <v>1695</v>
      </c>
    </row>
    <row r="55" spans="1:9" x14ac:dyDescent="0.55000000000000004">
      <c r="A55" t="s">
        <v>34</v>
      </c>
    </row>
    <row r="56" spans="1:9" x14ac:dyDescent="0.55000000000000004">
      <c r="B56" t="s">
        <v>0</v>
      </c>
      <c r="C56" t="s">
        <v>1</v>
      </c>
      <c r="D56" t="s">
        <v>31</v>
      </c>
      <c r="E56" t="s">
        <v>32</v>
      </c>
      <c r="F56" t="s">
        <v>2</v>
      </c>
      <c r="H56" t="s">
        <v>3</v>
      </c>
      <c r="I56" t="s">
        <v>4</v>
      </c>
    </row>
    <row r="57" spans="1:9" x14ac:dyDescent="0.55000000000000004">
      <c r="A57" t="s">
        <v>20</v>
      </c>
      <c r="B57">
        <v>2.7610700000000001</v>
      </c>
      <c r="C57">
        <v>0.10301</v>
      </c>
      <c r="D57">
        <v>2.55375</v>
      </c>
      <c r="E57">
        <v>2.9643000000000002</v>
      </c>
      <c r="F57">
        <v>1.0019400000000001</v>
      </c>
      <c r="H57">
        <v>790</v>
      </c>
      <c r="I57">
        <v>1596</v>
      </c>
    </row>
    <row r="58" spans="1:9" x14ac:dyDescent="0.55000000000000004">
      <c r="A58" t="s">
        <v>21</v>
      </c>
      <c r="B58">
        <v>2.77989</v>
      </c>
      <c r="C58">
        <v>0.11643000000000001</v>
      </c>
      <c r="D58">
        <v>2.5598399999999999</v>
      </c>
      <c r="E58">
        <v>3.0057200000000002</v>
      </c>
      <c r="F58">
        <v>1.0079</v>
      </c>
      <c r="H58">
        <v>738</v>
      </c>
      <c r="I58">
        <v>1513</v>
      </c>
    </row>
    <row r="59" spans="1:9" x14ac:dyDescent="0.55000000000000004">
      <c r="A59" t="s">
        <v>22</v>
      </c>
      <c r="B59">
        <v>2.7665500000000001</v>
      </c>
      <c r="C59">
        <v>0.19855</v>
      </c>
      <c r="D59">
        <v>2.37419</v>
      </c>
      <c r="E59">
        <v>3.18201</v>
      </c>
      <c r="F59">
        <v>1.0025500000000001</v>
      </c>
      <c r="H59">
        <v>1004</v>
      </c>
      <c r="I59">
        <v>1495</v>
      </c>
    </row>
    <row r="60" spans="1:9" x14ac:dyDescent="0.55000000000000004">
      <c r="A60" t="s">
        <v>23</v>
      </c>
      <c r="B60">
        <v>2.9258199999999999</v>
      </c>
      <c r="C60">
        <v>0.23885000000000001</v>
      </c>
      <c r="D60">
        <v>2.4391400000000001</v>
      </c>
      <c r="E60">
        <v>3.40767</v>
      </c>
      <c r="F60">
        <v>1.0001500000000001</v>
      </c>
      <c r="H60">
        <v>1185</v>
      </c>
      <c r="I60">
        <v>1379</v>
      </c>
    </row>
    <row r="61" spans="1:9" x14ac:dyDescent="0.55000000000000004">
      <c r="A61" t="s">
        <v>24</v>
      </c>
      <c r="B61">
        <v>3.04128</v>
      </c>
      <c r="C61">
        <v>0.22822999999999999</v>
      </c>
      <c r="D61">
        <v>2.57985</v>
      </c>
      <c r="E61">
        <v>3.50657</v>
      </c>
      <c r="F61">
        <v>1.0006299999999999</v>
      </c>
      <c r="H61">
        <v>1233</v>
      </c>
      <c r="I61">
        <v>1861</v>
      </c>
    </row>
    <row r="63" spans="1:9" x14ac:dyDescent="0.55000000000000004">
      <c r="A63" t="s">
        <v>35</v>
      </c>
    </row>
    <row r="64" spans="1:9" x14ac:dyDescent="0.55000000000000004">
      <c r="B64" t="s">
        <v>0</v>
      </c>
      <c r="C64" t="s">
        <v>1</v>
      </c>
      <c r="D64" t="s">
        <v>31</v>
      </c>
      <c r="E64" t="s">
        <v>32</v>
      </c>
      <c r="F64" t="s">
        <v>2</v>
      </c>
      <c r="H64" t="s">
        <v>3</v>
      </c>
      <c r="I64" t="s">
        <v>4</v>
      </c>
    </row>
    <row r="65" spans="1:9" x14ac:dyDescent="0.55000000000000004">
      <c r="A65" t="s">
        <v>25</v>
      </c>
      <c r="B65">
        <v>0.29661999999999999</v>
      </c>
      <c r="C65">
        <v>1.048E-2</v>
      </c>
      <c r="D65">
        <v>0.27721000000000001</v>
      </c>
      <c r="E65">
        <v>0.31756000000000001</v>
      </c>
      <c r="F65">
        <v>1.0005900000000001</v>
      </c>
      <c r="H65">
        <v>4291</v>
      </c>
      <c r="I65">
        <v>2986</v>
      </c>
    </row>
    <row r="66" spans="1:9" x14ac:dyDescent="0.55000000000000004">
      <c r="A66" t="s">
        <v>26</v>
      </c>
      <c r="B66">
        <v>0.30529000000000001</v>
      </c>
      <c r="C66">
        <v>1.0789999999999999E-2</v>
      </c>
      <c r="D66">
        <v>0.28502</v>
      </c>
      <c r="E66">
        <v>0.32743</v>
      </c>
      <c r="F66">
        <v>0.99965000000000004</v>
      </c>
      <c r="H66">
        <v>5430</v>
      </c>
      <c r="I66">
        <v>3289</v>
      </c>
    </row>
    <row r="67" spans="1:9" x14ac:dyDescent="0.55000000000000004">
      <c r="A67" t="s">
        <v>27</v>
      </c>
      <c r="B67">
        <v>0.29947000000000001</v>
      </c>
      <c r="C67">
        <v>1.0290000000000001E-2</v>
      </c>
      <c r="D67">
        <v>0.28025</v>
      </c>
      <c r="E67">
        <v>0.32055</v>
      </c>
      <c r="F67">
        <v>1.0007600000000001</v>
      </c>
      <c r="H67">
        <v>4828</v>
      </c>
      <c r="I67">
        <v>3112</v>
      </c>
    </row>
    <row r="68" spans="1:9" x14ac:dyDescent="0.55000000000000004">
      <c r="A68" t="s">
        <v>28</v>
      </c>
      <c r="B68">
        <v>0.33250000000000002</v>
      </c>
      <c r="C68">
        <v>1.1129999999999999E-2</v>
      </c>
      <c r="D68">
        <v>0.31133</v>
      </c>
      <c r="E68">
        <v>0.35496</v>
      </c>
      <c r="F68">
        <v>1.0018100000000001</v>
      </c>
      <c r="H68">
        <v>7439</v>
      </c>
      <c r="I68">
        <v>2689</v>
      </c>
    </row>
    <row r="69" spans="1:9" x14ac:dyDescent="0.55000000000000004">
      <c r="A69" t="s">
        <v>29</v>
      </c>
      <c r="B69">
        <v>0.29676000000000002</v>
      </c>
      <c r="C69">
        <v>1.0279999999999999E-2</v>
      </c>
      <c r="D69">
        <v>0.27756999999999998</v>
      </c>
      <c r="E69">
        <v>0.31745000000000001</v>
      </c>
      <c r="F69">
        <v>1.00136</v>
      </c>
      <c r="H69">
        <v>5208</v>
      </c>
      <c r="I69">
        <v>2793</v>
      </c>
    </row>
    <row r="71" spans="1:9" x14ac:dyDescent="0.55000000000000004">
      <c r="A71" s="11" t="s">
        <v>47</v>
      </c>
    </row>
    <row r="73" spans="1:9" x14ac:dyDescent="0.55000000000000004">
      <c r="A73" t="s">
        <v>20</v>
      </c>
    </row>
    <row r="75" spans="1:9" x14ac:dyDescent="0.55000000000000004">
      <c r="B75" t="s">
        <v>0</v>
      </c>
      <c r="C75" t="s">
        <v>1</v>
      </c>
      <c r="D75" t="s">
        <v>48</v>
      </c>
      <c r="E75" t="s">
        <v>49</v>
      </c>
    </row>
    <row r="76" spans="1:9" x14ac:dyDescent="0.55000000000000004">
      <c r="A76" t="s">
        <v>20</v>
      </c>
      <c r="B76">
        <v>0.33742</v>
      </c>
      <c r="C76">
        <v>4.8032999999999999E-2</v>
      </c>
      <c r="D76">
        <v>0.25503999999999999</v>
      </c>
      <c r="E76">
        <v>0.44444</v>
      </c>
    </row>
    <row r="77" spans="1:9" x14ac:dyDescent="0.55000000000000004">
      <c r="A77" t="s">
        <v>21</v>
      </c>
      <c r="B77">
        <v>0.31347000000000003</v>
      </c>
      <c r="C77">
        <v>4.496E-2</v>
      </c>
      <c r="D77">
        <v>0.23499999999999999</v>
      </c>
      <c r="E77">
        <v>0.41071999999999997</v>
      </c>
    </row>
    <row r="78" spans="1:9" x14ac:dyDescent="0.55000000000000004">
      <c r="A78" t="s">
        <v>22</v>
      </c>
      <c r="B78">
        <v>0.32495000000000002</v>
      </c>
      <c r="C78">
        <v>4.5945E-2</v>
      </c>
      <c r="D78">
        <v>0.24526000000000001</v>
      </c>
      <c r="E78">
        <v>0.42225000000000001</v>
      </c>
    </row>
    <row r="79" spans="1:9" x14ac:dyDescent="0.55000000000000004">
      <c r="A79" t="s">
        <v>23</v>
      </c>
      <c r="B79">
        <v>0.32805000000000001</v>
      </c>
      <c r="C79">
        <v>4.6579000000000002E-2</v>
      </c>
      <c r="D79">
        <v>0.24704999999999999</v>
      </c>
      <c r="E79">
        <v>0.42898999999999998</v>
      </c>
    </row>
    <row r="80" spans="1:9" x14ac:dyDescent="0.55000000000000004">
      <c r="A80" t="s">
        <v>24</v>
      </c>
      <c r="B80">
        <v>0.30993999999999999</v>
      </c>
      <c r="C80">
        <v>4.3907000000000002E-2</v>
      </c>
      <c r="D80">
        <v>0.23233000000000001</v>
      </c>
      <c r="E80">
        <v>0.40551999999999999</v>
      </c>
    </row>
    <row r="82" spans="1:5" x14ac:dyDescent="0.55000000000000004">
      <c r="A82" t="s">
        <v>21</v>
      </c>
    </row>
    <row r="84" spans="1:5" x14ac:dyDescent="0.55000000000000004">
      <c r="B84" t="s">
        <v>0</v>
      </c>
      <c r="C84" t="s">
        <v>1</v>
      </c>
      <c r="D84" t="s">
        <v>48</v>
      </c>
      <c r="E84" t="s">
        <v>49</v>
      </c>
    </row>
    <row r="85" spans="1:5" x14ac:dyDescent="0.55000000000000004">
      <c r="A85" t="s">
        <v>20</v>
      </c>
      <c r="B85">
        <v>0.31347000000000003</v>
      </c>
      <c r="C85">
        <v>4.496E-2</v>
      </c>
      <c r="D85">
        <v>0.23499999999999999</v>
      </c>
      <c r="E85">
        <v>0.41071999999999997</v>
      </c>
    </row>
    <row r="86" spans="1:5" x14ac:dyDescent="0.55000000000000004">
      <c r="A86" t="s">
        <v>21</v>
      </c>
      <c r="B86">
        <v>0.32311000000000001</v>
      </c>
      <c r="C86">
        <v>4.6531000000000003E-2</v>
      </c>
      <c r="D86">
        <v>0.24149999999999999</v>
      </c>
      <c r="E86">
        <v>0.42201</v>
      </c>
    </row>
    <row r="87" spans="1:5" x14ac:dyDescent="0.55000000000000004">
      <c r="A87" t="s">
        <v>22</v>
      </c>
      <c r="B87">
        <v>0.31453999999999999</v>
      </c>
      <c r="C87">
        <v>4.4729999999999999E-2</v>
      </c>
      <c r="D87">
        <v>0.23599000000000001</v>
      </c>
      <c r="E87">
        <v>0.41219</v>
      </c>
    </row>
    <row r="88" spans="1:5" x14ac:dyDescent="0.55000000000000004">
      <c r="A88" t="s">
        <v>23</v>
      </c>
      <c r="B88">
        <v>0.32158999999999999</v>
      </c>
      <c r="C88">
        <v>4.5895999999999999E-2</v>
      </c>
      <c r="D88">
        <v>0.24245</v>
      </c>
      <c r="E88">
        <v>0.42182999999999998</v>
      </c>
    </row>
    <row r="89" spans="1:5" x14ac:dyDescent="0.55000000000000004">
      <c r="A89" t="s">
        <v>24</v>
      </c>
      <c r="B89">
        <v>0.30345</v>
      </c>
      <c r="C89">
        <v>4.3131000000000003E-2</v>
      </c>
      <c r="D89">
        <v>0.22792999999999999</v>
      </c>
      <c r="E89">
        <v>0.39600000000000002</v>
      </c>
    </row>
    <row r="91" spans="1:5" x14ac:dyDescent="0.55000000000000004">
      <c r="A91" t="s">
        <v>22</v>
      </c>
    </row>
    <row r="93" spans="1:5" x14ac:dyDescent="0.55000000000000004">
      <c r="B93" t="s">
        <v>0</v>
      </c>
      <c r="C93" t="s">
        <v>1</v>
      </c>
      <c r="D93" t="s">
        <v>48</v>
      </c>
      <c r="E93" t="s">
        <v>49</v>
      </c>
    </row>
    <row r="94" spans="1:5" x14ac:dyDescent="0.55000000000000004">
      <c r="A94" t="s">
        <v>20</v>
      </c>
      <c r="B94">
        <v>0.32495000000000002</v>
      </c>
      <c r="C94">
        <v>4.5945E-2</v>
      </c>
      <c r="D94">
        <v>0.24526000000000001</v>
      </c>
      <c r="E94">
        <v>0.42225000000000001</v>
      </c>
    </row>
    <row r="95" spans="1:5" x14ac:dyDescent="0.55000000000000004">
      <c r="A95" t="s">
        <v>21</v>
      </c>
      <c r="B95">
        <v>0.31453999999999999</v>
      </c>
      <c r="C95">
        <v>4.4729999999999999E-2</v>
      </c>
      <c r="D95">
        <v>0.23599000000000001</v>
      </c>
      <c r="E95">
        <v>0.41219</v>
      </c>
    </row>
    <row r="96" spans="1:5" x14ac:dyDescent="0.55000000000000004">
      <c r="A96" t="s">
        <v>22</v>
      </c>
      <c r="B96">
        <v>0.32940999999999998</v>
      </c>
      <c r="C96">
        <v>4.7143999999999998E-2</v>
      </c>
      <c r="D96">
        <v>0.24740999999999999</v>
      </c>
      <c r="E96">
        <v>0.43239</v>
      </c>
    </row>
    <row r="97" spans="1:5" x14ac:dyDescent="0.55000000000000004">
      <c r="A97" t="s">
        <v>23</v>
      </c>
      <c r="B97">
        <v>0.32318000000000002</v>
      </c>
      <c r="C97">
        <v>4.6042E-2</v>
      </c>
      <c r="D97">
        <v>0.24242</v>
      </c>
      <c r="E97">
        <v>0.42564000000000002</v>
      </c>
    </row>
    <row r="98" spans="1:5" x14ac:dyDescent="0.55000000000000004">
      <c r="A98" t="s">
        <v>24</v>
      </c>
      <c r="B98">
        <v>0.30637999999999999</v>
      </c>
      <c r="C98">
        <v>4.3556999999999998E-2</v>
      </c>
      <c r="D98">
        <v>0.22933999999999999</v>
      </c>
      <c r="E98">
        <v>0.4012</v>
      </c>
    </row>
    <row r="100" spans="1:5" x14ac:dyDescent="0.55000000000000004">
      <c r="A100" t="s">
        <v>23</v>
      </c>
    </row>
    <row r="102" spans="1:5" x14ac:dyDescent="0.55000000000000004">
      <c r="B102" t="s">
        <v>0</v>
      </c>
      <c r="C102" t="s">
        <v>1</v>
      </c>
      <c r="D102" t="s">
        <v>48</v>
      </c>
      <c r="E102" t="s">
        <v>49</v>
      </c>
    </row>
    <row r="103" spans="1:5" x14ac:dyDescent="0.55000000000000004">
      <c r="A103" t="s">
        <v>20</v>
      </c>
      <c r="B103">
        <v>0.32805000000000001</v>
      </c>
      <c r="C103">
        <v>4.6579000000000002E-2</v>
      </c>
      <c r="D103">
        <v>0.24704999999999999</v>
      </c>
      <c r="E103">
        <v>0.42898999999999998</v>
      </c>
    </row>
    <row r="104" spans="1:5" x14ac:dyDescent="0.55000000000000004">
      <c r="A104" t="s">
        <v>21</v>
      </c>
      <c r="B104">
        <v>0.32158999999999999</v>
      </c>
      <c r="C104">
        <v>4.5895999999999999E-2</v>
      </c>
      <c r="D104">
        <v>0.24245</v>
      </c>
      <c r="E104">
        <v>0.42182999999999998</v>
      </c>
    </row>
    <row r="105" spans="1:5" x14ac:dyDescent="0.55000000000000004">
      <c r="A105" t="s">
        <v>22</v>
      </c>
      <c r="B105">
        <v>0.32318000000000002</v>
      </c>
      <c r="C105">
        <v>4.6042E-2</v>
      </c>
      <c r="D105">
        <v>0.24242</v>
      </c>
      <c r="E105">
        <v>0.42564000000000002</v>
      </c>
    </row>
    <row r="106" spans="1:5" x14ac:dyDescent="0.55000000000000004">
      <c r="A106" t="s">
        <v>23</v>
      </c>
      <c r="B106">
        <v>0.33776</v>
      </c>
      <c r="C106">
        <v>4.9030999999999998E-2</v>
      </c>
      <c r="D106">
        <v>0.25255</v>
      </c>
      <c r="E106">
        <v>0.44535000000000002</v>
      </c>
    </row>
    <row r="107" spans="1:5" x14ac:dyDescent="0.55000000000000004">
      <c r="A107" t="s">
        <v>24</v>
      </c>
      <c r="B107">
        <v>0.31568000000000002</v>
      </c>
      <c r="C107">
        <v>4.4600000000000001E-2</v>
      </c>
      <c r="D107">
        <v>0.23671</v>
      </c>
      <c r="E107">
        <v>0.41310000000000002</v>
      </c>
    </row>
    <row r="109" spans="1:5" x14ac:dyDescent="0.55000000000000004">
      <c r="A109" t="s">
        <v>24</v>
      </c>
    </row>
    <row r="111" spans="1:5" x14ac:dyDescent="0.55000000000000004">
      <c r="B111" t="s">
        <v>0</v>
      </c>
      <c r="C111" t="s">
        <v>1</v>
      </c>
      <c r="D111" t="s">
        <v>48</v>
      </c>
      <c r="E111" t="s">
        <v>49</v>
      </c>
    </row>
    <row r="112" spans="1:5" x14ac:dyDescent="0.55000000000000004">
      <c r="A112" t="s">
        <v>20</v>
      </c>
      <c r="B112">
        <v>0.30993999999999999</v>
      </c>
      <c r="C112">
        <v>4.3907000000000002E-2</v>
      </c>
      <c r="D112">
        <v>0.23233000000000001</v>
      </c>
      <c r="E112">
        <v>0.40551999999999999</v>
      </c>
    </row>
    <row r="113" spans="1:5" x14ac:dyDescent="0.55000000000000004">
      <c r="A113" t="s">
        <v>21</v>
      </c>
      <c r="B113">
        <v>0.30345</v>
      </c>
      <c r="C113">
        <v>4.3131000000000003E-2</v>
      </c>
      <c r="D113">
        <v>0.22792999999999999</v>
      </c>
      <c r="E113">
        <v>0.39600000000000002</v>
      </c>
    </row>
    <row r="114" spans="1:5" x14ac:dyDescent="0.55000000000000004">
      <c r="A114" t="s">
        <v>22</v>
      </c>
      <c r="B114">
        <v>0.30637999999999999</v>
      </c>
      <c r="C114">
        <v>4.3556999999999998E-2</v>
      </c>
      <c r="D114">
        <v>0.22933999999999999</v>
      </c>
      <c r="E114">
        <v>0.4012</v>
      </c>
    </row>
    <row r="115" spans="1:5" x14ac:dyDescent="0.55000000000000004">
      <c r="A115" t="s">
        <v>23</v>
      </c>
      <c r="B115">
        <v>0.31568000000000002</v>
      </c>
      <c r="C115">
        <v>4.4600000000000001E-2</v>
      </c>
      <c r="D115">
        <v>0.23671</v>
      </c>
      <c r="E115">
        <v>0.41310000000000002</v>
      </c>
    </row>
    <row r="116" spans="1:5" x14ac:dyDescent="0.55000000000000004">
      <c r="A116" t="s">
        <v>24</v>
      </c>
      <c r="B116">
        <v>0.30769000000000002</v>
      </c>
      <c r="C116">
        <v>4.3958999999999998E-2</v>
      </c>
      <c r="D116">
        <v>0.22969999999999999</v>
      </c>
      <c r="E116">
        <v>0.40271000000000001</v>
      </c>
    </row>
  </sheetData>
  <mergeCells count="3">
    <mergeCell ref="B2:F2"/>
    <mergeCell ref="I2:M2"/>
    <mergeCell ref="O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Jackson</dc:creator>
  <cp:lastModifiedBy>Duncan Jackson</cp:lastModifiedBy>
  <dcterms:created xsi:type="dcterms:W3CDTF">2025-03-29T11:41:39Z</dcterms:created>
  <dcterms:modified xsi:type="dcterms:W3CDTF">2025-04-03T00:21:26Z</dcterms:modified>
</cp:coreProperties>
</file>