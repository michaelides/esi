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ca\Documents\Stored Documents\Lectures\King's\Research Projects\Multicountry G study\"/>
    </mc:Choice>
  </mc:AlternateContent>
  <xr:revisionPtr revIDLastSave="0" documentId="13_ncr:1_{4B797712-8873-4F36-8AC8-201621A4E7DF}" xr6:coauthVersionLast="47" xr6:coauthVersionMax="47" xr10:uidLastSave="{00000000-0000-0000-0000-000000000000}"/>
  <bookViews>
    <workbookView xWindow="-108" yWindow="-108" windowWidth="23256" windowHeight="12456" xr2:uid="{5C1B222E-2408-454B-B3F6-28F55F162D8D}"/>
  </bookViews>
  <sheets>
    <sheet name="multicount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8" i="1" l="1"/>
  <c r="D27" i="1"/>
  <c r="C26" i="1"/>
  <c r="B25" i="1"/>
  <c r="E23" i="1"/>
  <c r="D22" i="1"/>
  <c r="C21" i="1"/>
  <c r="B20" i="1"/>
  <c r="E18" i="1"/>
  <c r="D17" i="1"/>
  <c r="C16" i="1"/>
  <c r="B15" i="1"/>
  <c r="E13" i="1"/>
  <c r="P13" i="1" s="1"/>
  <c r="D12" i="1"/>
  <c r="O12" i="1" s="1"/>
  <c r="C11" i="1"/>
  <c r="N11" i="1" s="1"/>
  <c r="B10" i="1"/>
  <c r="M10" i="1" s="1"/>
  <c r="E8" i="1"/>
  <c r="P8" i="1" s="1"/>
  <c r="D7" i="1"/>
  <c r="O7" i="1" s="1"/>
  <c r="C6" i="1"/>
  <c r="N6" i="1" s="1"/>
  <c r="N30" i="1" s="1"/>
  <c r="B5" i="1"/>
  <c r="M5" i="1" s="1"/>
  <c r="M30" i="1" s="1"/>
  <c r="E17" i="1"/>
  <c r="E16" i="1"/>
  <c r="D16" i="1"/>
  <c r="E15" i="1"/>
  <c r="D15" i="1"/>
  <c r="C15" i="1"/>
  <c r="E7" i="1"/>
  <c r="P7" i="1" s="1"/>
  <c r="E6" i="1"/>
  <c r="P6" i="1" s="1"/>
  <c r="E5" i="1"/>
  <c r="P5" i="1" s="1"/>
  <c r="D6" i="1"/>
  <c r="O6" i="1" s="1"/>
  <c r="D5" i="1"/>
  <c r="O5" i="1" s="1"/>
  <c r="C5" i="1"/>
  <c r="N5" i="1" s="1"/>
  <c r="D30" i="1" l="1"/>
  <c r="I22" i="1" s="1"/>
  <c r="E30" i="1"/>
  <c r="I12" i="1"/>
  <c r="I7" i="1"/>
  <c r="O30" i="1"/>
  <c r="T12" i="1" s="1"/>
  <c r="J13" i="1"/>
  <c r="P30" i="1"/>
  <c r="U8" i="1" s="1"/>
  <c r="B30" i="1"/>
  <c r="G25" i="1" s="1"/>
  <c r="C30" i="1"/>
  <c r="H6" i="1" s="1"/>
  <c r="R10" i="1"/>
  <c r="M31" i="1"/>
  <c r="S11" i="1"/>
  <c r="N31" i="1"/>
  <c r="O31" i="1"/>
  <c r="P31" i="1"/>
  <c r="R5" i="1"/>
  <c r="S6" i="1"/>
  <c r="T7" i="1"/>
  <c r="G10" i="1" l="1"/>
  <c r="G15" i="1"/>
  <c r="I27" i="1"/>
  <c r="I17" i="1"/>
  <c r="J23" i="1"/>
  <c r="J8" i="1"/>
  <c r="J18" i="1"/>
  <c r="H16" i="1"/>
  <c r="H21" i="1"/>
  <c r="H26" i="1"/>
  <c r="H11" i="1"/>
  <c r="G20" i="1"/>
  <c r="G5" i="1"/>
  <c r="J28" i="1"/>
  <c r="U13" i="1"/>
</calcChain>
</file>

<file path=xl/sharedStrings.xml><?xml version="1.0" encoding="utf-8"?>
<sst xmlns="http://schemas.openxmlformats.org/spreadsheetml/2006/main" count="153" uniqueCount="79">
  <si>
    <t>Multilevel</t>
  </si>
  <si>
    <t>Hyperparameters:</t>
  </si>
  <si>
    <t>~cid</t>
  </si>
  <si>
    <t>(Number</t>
  </si>
  <si>
    <t>of</t>
  </si>
  <si>
    <t>levels:</t>
  </si>
  <si>
    <t>8)</t>
  </si>
  <si>
    <t>Estimate</t>
  </si>
  <si>
    <t>Est.Error</t>
  </si>
  <si>
    <t>l-95%</t>
  </si>
  <si>
    <t>u-95%</t>
  </si>
  <si>
    <t>Rhat</t>
  </si>
  <si>
    <t>Bulk_ESS</t>
  </si>
  <si>
    <t>Tail_ESS</t>
  </si>
  <si>
    <t>sd(t_Intercept)</t>
  </si>
  <si>
    <t>sd(f_Intercept)</t>
  </si>
  <si>
    <t>sd(d_Intercept)</t>
  </si>
  <si>
    <t>sd(o_Intercept)</t>
  </si>
  <si>
    <t>cor(t_Intercept,f_Intercept)</t>
  </si>
  <si>
    <t>cor(t_Intercept,d_Intercept)</t>
  </si>
  <si>
    <t>cor(f_Intercept,d_Intercept)</t>
  </si>
  <si>
    <t>cor(t_Intercept,o_Intercept)</t>
  </si>
  <si>
    <t>cor(f_Intercept,o_Intercept)</t>
  </si>
  <si>
    <t>cor(d_Intercept,o_Intercept)</t>
  </si>
  <si>
    <t>~i</t>
  </si>
  <si>
    <t>4)</t>
  </si>
  <si>
    <t>~i:cid</t>
  </si>
  <si>
    <t>30)</t>
  </si>
  <si>
    <t>~p</t>
  </si>
  <si>
    <t>2471)</t>
  </si>
  <si>
    <t>Regression</t>
  </si>
  <si>
    <t>Coefficients:</t>
  </si>
  <si>
    <t>t_Intercept</t>
  </si>
  <si>
    <t>f_Intercept</t>
  </si>
  <si>
    <t>d_Intercept</t>
  </si>
  <si>
    <t>o_Intercept</t>
  </si>
  <si>
    <t>Further</t>
  </si>
  <si>
    <t>Distributional</t>
  </si>
  <si>
    <t>Parameters:</t>
  </si>
  <si>
    <t>sigma_t</t>
  </si>
  <si>
    <t>sigma_f</t>
  </si>
  <si>
    <t>sigma_d</t>
  </si>
  <si>
    <t>sigma_o</t>
  </si>
  <si>
    <t>Effect</t>
  </si>
  <si>
    <t>t</t>
  </si>
  <si>
    <t>f</t>
  </si>
  <si>
    <t>d</t>
  </si>
  <si>
    <t>o</t>
  </si>
  <si>
    <t>p(t)</t>
  </si>
  <si>
    <t>p(f)</t>
  </si>
  <si>
    <t>p(d)</t>
  </si>
  <si>
    <t>p(o)</t>
  </si>
  <si>
    <r>
      <t>pcid,</t>
    </r>
    <r>
      <rPr>
        <i/>
        <sz val="11"/>
        <color theme="1"/>
        <rFont val="Aptos Narrow"/>
        <family val="2"/>
        <scheme val="minor"/>
      </rPr>
      <t>e</t>
    </r>
    <r>
      <rPr>
        <sz val="11"/>
        <color theme="1"/>
        <rFont val="Aptos Narrow"/>
        <family val="2"/>
        <scheme val="minor"/>
      </rPr>
      <t>(t)</t>
    </r>
  </si>
  <si>
    <r>
      <t>pcid,</t>
    </r>
    <r>
      <rPr>
        <i/>
        <sz val="11"/>
        <color theme="1"/>
        <rFont val="Aptos Narrow"/>
        <family val="2"/>
        <scheme val="minor"/>
      </rPr>
      <t>e</t>
    </r>
    <r>
      <rPr>
        <sz val="11"/>
        <color theme="1"/>
        <rFont val="Aptos Narrow"/>
        <family val="2"/>
        <scheme val="minor"/>
      </rPr>
      <t>(f)</t>
    </r>
  </si>
  <si>
    <r>
      <t>pcid,</t>
    </r>
    <r>
      <rPr>
        <i/>
        <sz val="11"/>
        <color theme="1"/>
        <rFont val="Aptos Narrow"/>
        <family val="2"/>
        <scheme val="minor"/>
      </rPr>
      <t>e</t>
    </r>
    <r>
      <rPr>
        <sz val="11"/>
        <color theme="1"/>
        <rFont val="Aptos Narrow"/>
        <family val="2"/>
        <scheme val="minor"/>
      </rPr>
      <t>(d)</t>
    </r>
  </si>
  <si>
    <r>
      <t>pcid,</t>
    </r>
    <r>
      <rPr>
        <i/>
        <sz val="11"/>
        <color theme="1"/>
        <rFont val="Aptos Narrow"/>
        <family val="2"/>
        <scheme val="minor"/>
      </rPr>
      <t>e</t>
    </r>
    <r>
      <rPr>
        <sz val="11"/>
        <color theme="1"/>
        <rFont val="Aptos Narrow"/>
        <family val="2"/>
        <scheme val="minor"/>
      </rPr>
      <t>(o)</t>
    </r>
  </si>
  <si>
    <t>cid(t)</t>
  </si>
  <si>
    <t>cid(f)</t>
  </si>
  <si>
    <t>cid(d)</t>
  </si>
  <si>
    <t>cid(o)</t>
  </si>
  <si>
    <t>i:cid(t)</t>
  </si>
  <si>
    <t>i:cid(f)</t>
  </si>
  <si>
    <t>i:cid(d)</t>
  </si>
  <si>
    <t>i:cid(o)</t>
  </si>
  <si>
    <t>i(f)</t>
  </si>
  <si>
    <t>i(t)</t>
  </si>
  <si>
    <t>i(d)</t>
  </si>
  <si>
    <t>i(o)</t>
  </si>
  <si>
    <t>dd</t>
  </si>
  <si>
    <t>Multivariate Generalizability Study</t>
  </si>
  <si>
    <t>Variances</t>
  </si>
  <si>
    <t>BP Variances and G Coefficients</t>
  </si>
  <si>
    <t>BP Percentages</t>
  </si>
  <si>
    <t>brms output</t>
  </si>
  <si>
    <t>Total</t>
  </si>
  <si>
    <t>Total Percentages</t>
  </si>
  <si>
    <t>Pre-aggregation</t>
  </si>
  <si>
    <t>Post-aggregation</t>
  </si>
  <si>
    <t>G coefficients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</si>
</sst>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.0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16" fillId="0" borderId="0" xfId="0" applyFont="1"/>
    <xf numFmtId="2" fontId="0" fillId="0" borderId="0" xfId="0" applyNumberFormat="1"/>
    <xf numFmtId="10" fontId="0" fillId="0" borderId="0" xfId="0" applyNumberFormat="1"/>
    <xf numFmtId="0" fontId="0" fillId="0" borderId="10" xfId="0" applyBorder="1"/>
    <xf numFmtId="0" fontId="0" fillId="0" borderId="11" xfId="0" applyBorder="1"/>
    <xf numFmtId="0" fontId="0" fillId="0" borderId="11" xfId="0" applyBorder="1" applyAlignment="1">
      <alignment horizontal="center"/>
    </xf>
    <xf numFmtId="0" fontId="0" fillId="0" borderId="12" xfId="0" applyBorder="1"/>
    <xf numFmtId="10" fontId="16" fillId="0" borderId="0" xfId="0" applyNumberFormat="1" applyFont="1"/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165" fontId="16" fillId="0" borderId="0" xfId="0" applyNumberFormat="1" applyFont="1"/>
    <xf numFmtId="165" fontId="0" fillId="0" borderId="0" xfId="0" applyNumberFormat="1"/>
    <xf numFmtId="165" fontId="0" fillId="0" borderId="12" xfId="0" applyNumberFormat="1" applyBorder="1"/>
    <xf numFmtId="165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CA1A7-9EFD-4872-AB7E-5E1072D66141}">
  <dimension ref="A1:U88"/>
  <sheetViews>
    <sheetView tabSelected="1" workbookViewId="0">
      <selection activeCell="P13" sqref="P13"/>
    </sheetView>
  </sheetViews>
  <sheetFormatPr defaultRowHeight="14.4" x14ac:dyDescent="0.3"/>
  <cols>
    <col min="1" max="1" width="23.6640625" bestFit="1" customWidth="1"/>
    <col min="6" max="6" width="1.21875" customWidth="1"/>
    <col min="7" max="7" width="8.44140625" customWidth="1"/>
    <col min="8" max="8" width="7.33203125" customWidth="1"/>
    <col min="9" max="9" width="7.109375" customWidth="1"/>
    <col min="10" max="10" width="8" customWidth="1"/>
    <col min="11" max="11" width="2" customWidth="1"/>
    <col min="12" max="12" width="3.88671875" customWidth="1"/>
    <col min="17" max="17" width="1.44140625" customWidth="1"/>
  </cols>
  <sheetData>
    <row r="1" spans="1:21" x14ac:dyDescent="0.3">
      <c r="A1" s="1" t="s">
        <v>69</v>
      </c>
    </row>
    <row r="2" spans="1:21" x14ac:dyDescent="0.3">
      <c r="A2" s="1"/>
      <c r="B2" s="10" t="s">
        <v>76</v>
      </c>
      <c r="C2" s="10"/>
      <c r="D2" s="10"/>
      <c r="E2" s="10"/>
      <c r="F2" s="10"/>
      <c r="G2" s="10"/>
      <c r="H2" s="10"/>
      <c r="I2" s="10"/>
      <c r="J2" s="10"/>
      <c r="L2" s="10" t="s">
        <v>77</v>
      </c>
      <c r="M2" s="10"/>
      <c r="N2" s="10"/>
      <c r="O2" s="10"/>
      <c r="P2" s="10"/>
      <c r="Q2" s="10"/>
      <c r="R2" s="10"/>
      <c r="S2" s="10"/>
      <c r="T2" s="10"/>
      <c r="U2" s="10"/>
    </row>
    <row r="3" spans="1:21" x14ac:dyDescent="0.3">
      <c r="B3" s="9" t="s">
        <v>70</v>
      </c>
      <c r="C3" s="9"/>
      <c r="D3" s="9"/>
      <c r="E3" s="9"/>
      <c r="G3" s="10" t="s">
        <v>75</v>
      </c>
      <c r="H3" s="10"/>
      <c r="I3" s="10"/>
      <c r="J3" s="10"/>
      <c r="L3" s="9" t="s">
        <v>71</v>
      </c>
      <c r="M3" s="9"/>
      <c r="N3" s="9"/>
      <c r="O3" s="9"/>
      <c r="P3" s="9"/>
      <c r="R3" s="9" t="s">
        <v>72</v>
      </c>
      <c r="S3" s="9"/>
      <c r="T3" s="9"/>
      <c r="U3" s="9"/>
    </row>
    <row r="4" spans="1:21" x14ac:dyDescent="0.3">
      <c r="A4" s="5" t="s">
        <v>43</v>
      </c>
      <c r="B4" s="6" t="s">
        <v>44</v>
      </c>
      <c r="C4" s="6" t="s">
        <v>45</v>
      </c>
      <c r="D4" s="6" t="s">
        <v>46</v>
      </c>
      <c r="E4" s="6" t="s">
        <v>47</v>
      </c>
      <c r="F4" s="6"/>
      <c r="G4" s="6" t="s">
        <v>44</v>
      </c>
      <c r="H4" s="6" t="s">
        <v>45</v>
      </c>
      <c r="I4" s="6" t="s">
        <v>46</v>
      </c>
      <c r="J4" s="6" t="s">
        <v>47</v>
      </c>
      <c r="K4" s="6"/>
      <c r="L4" s="6" t="s">
        <v>68</v>
      </c>
      <c r="M4" s="6" t="s">
        <v>44</v>
      </c>
      <c r="N4" s="6" t="s">
        <v>45</v>
      </c>
      <c r="O4" s="6" t="s">
        <v>46</v>
      </c>
      <c r="P4" s="6" t="s">
        <v>47</v>
      </c>
      <c r="Q4" s="5"/>
      <c r="R4" s="6" t="s">
        <v>44</v>
      </c>
      <c r="S4" s="6" t="s">
        <v>45</v>
      </c>
      <c r="T4" s="6" t="s">
        <v>46</v>
      </c>
      <c r="U4" s="6" t="s">
        <v>47</v>
      </c>
    </row>
    <row r="5" spans="1:21" x14ac:dyDescent="0.3">
      <c r="A5" t="s">
        <v>48</v>
      </c>
      <c r="B5" s="11">
        <f>B65^2</f>
        <v>0.72249999999999992</v>
      </c>
      <c r="C5" s="12">
        <f>B69</f>
        <v>0.71</v>
      </c>
      <c r="D5" s="12">
        <f>B70</f>
        <v>-0.5</v>
      </c>
      <c r="E5" s="12">
        <f>B72</f>
        <v>0.03</v>
      </c>
      <c r="G5" s="3">
        <f>B5/B30</f>
        <v>0.50443342875096009</v>
      </c>
      <c r="H5" s="3"/>
      <c r="I5" s="3"/>
      <c r="J5" s="3"/>
      <c r="M5" s="11">
        <f>B5</f>
        <v>0.72249999999999992</v>
      </c>
      <c r="N5" s="12">
        <f t="shared" ref="N5:P5" si="0">C5</f>
        <v>0.71</v>
      </c>
      <c r="O5" s="12">
        <f t="shared" si="0"/>
        <v>-0.5</v>
      </c>
      <c r="P5" s="12">
        <f t="shared" si="0"/>
        <v>0.03</v>
      </c>
      <c r="R5" s="3">
        <f>M5/M30</f>
        <v>0.82976829653449702</v>
      </c>
      <c r="S5" s="3"/>
      <c r="T5" s="3"/>
      <c r="U5" s="3"/>
    </row>
    <row r="6" spans="1:21" x14ac:dyDescent="0.3">
      <c r="A6" t="s">
        <v>49</v>
      </c>
      <c r="B6" s="12"/>
      <c r="C6" s="11">
        <f>B66^2</f>
        <v>0.51839999999999997</v>
      </c>
      <c r="D6" s="12">
        <f>B71</f>
        <v>-0.67</v>
      </c>
      <c r="E6" s="12">
        <f>B73</f>
        <v>-0.22</v>
      </c>
      <c r="G6" s="3"/>
      <c r="H6" s="3">
        <f>C6/C30</f>
        <v>0.44651162790697668</v>
      </c>
      <c r="I6" s="3"/>
      <c r="J6" s="3"/>
      <c r="M6" s="12"/>
      <c r="N6" s="11">
        <f>C6</f>
        <v>0.51839999999999997</v>
      </c>
      <c r="O6" s="12">
        <f>D6</f>
        <v>-0.67</v>
      </c>
      <c r="P6" s="12">
        <f t="shared" ref="P6:P8" si="1">E6</f>
        <v>-0.22</v>
      </c>
      <c r="R6" s="3"/>
      <c r="S6" s="3">
        <f>N6/N30</f>
        <v>0.78213639106819555</v>
      </c>
      <c r="T6" s="3"/>
      <c r="U6" s="3"/>
    </row>
    <row r="7" spans="1:21" x14ac:dyDescent="0.3">
      <c r="A7" t="s">
        <v>50</v>
      </c>
      <c r="B7" s="12"/>
      <c r="C7" s="12"/>
      <c r="D7" s="11">
        <f>B67^2</f>
        <v>0.65610000000000013</v>
      </c>
      <c r="E7" s="12">
        <f>B74</f>
        <v>0.44</v>
      </c>
      <c r="G7" s="3"/>
      <c r="H7" s="3"/>
      <c r="I7" s="3">
        <f>D7/D30</f>
        <v>0.4827459348098006</v>
      </c>
      <c r="J7" s="3"/>
      <c r="M7" s="12"/>
      <c r="N7" s="12"/>
      <c r="O7" s="11">
        <f>D7</f>
        <v>0.65610000000000013</v>
      </c>
      <c r="P7" s="12">
        <f t="shared" si="1"/>
        <v>0.44</v>
      </c>
      <c r="R7" s="3"/>
      <c r="S7" s="3"/>
      <c r="T7" s="3">
        <f>O7/O30</f>
        <v>0.80394559490258544</v>
      </c>
      <c r="U7" s="3"/>
    </row>
    <row r="8" spans="1:21" x14ac:dyDescent="0.3">
      <c r="A8" t="s">
        <v>51</v>
      </c>
      <c r="B8" s="12"/>
      <c r="C8" s="12"/>
      <c r="D8" s="12"/>
      <c r="E8" s="11">
        <f>B68^2</f>
        <v>0.81</v>
      </c>
      <c r="F8" s="1"/>
      <c r="G8" s="8"/>
      <c r="H8" s="8"/>
      <c r="I8" s="8"/>
      <c r="J8" s="3">
        <f>E8/E30</f>
        <v>0.55858216674712091</v>
      </c>
      <c r="K8" s="1"/>
      <c r="M8" s="12"/>
      <c r="N8" s="12"/>
      <c r="O8" s="12"/>
      <c r="P8" s="11">
        <f t="shared" si="1"/>
        <v>0.81</v>
      </c>
      <c r="R8" s="3"/>
      <c r="S8" s="3"/>
      <c r="T8" s="3"/>
      <c r="U8" s="3">
        <f>P8/P30</f>
        <v>0.84190832553788586</v>
      </c>
    </row>
    <row r="9" spans="1:21" x14ac:dyDescent="0.3">
      <c r="B9" s="12"/>
      <c r="C9" s="12"/>
      <c r="D9" s="12"/>
      <c r="E9" s="12"/>
      <c r="G9" s="3"/>
      <c r="H9" s="3"/>
      <c r="I9" s="3"/>
      <c r="J9" s="3"/>
      <c r="M9" s="12"/>
      <c r="N9" s="12"/>
      <c r="O9" s="12"/>
      <c r="P9" s="12"/>
      <c r="R9" s="3"/>
      <c r="S9" s="3"/>
      <c r="T9" s="3"/>
      <c r="U9" s="3"/>
    </row>
    <row r="10" spans="1:21" x14ac:dyDescent="0.3">
      <c r="A10" t="s">
        <v>52</v>
      </c>
      <c r="B10" s="11">
        <f>B85^2</f>
        <v>0.59289999999999998</v>
      </c>
      <c r="C10" s="12"/>
      <c r="D10" s="12"/>
      <c r="E10" s="12"/>
      <c r="G10" s="3">
        <f>B10/B30</f>
        <v>0.4139495915660128</v>
      </c>
      <c r="H10" s="3"/>
      <c r="I10" s="3"/>
      <c r="J10" s="3"/>
      <c r="L10">
        <v>4</v>
      </c>
      <c r="M10" s="11">
        <f>B10/L10</f>
        <v>0.148225</v>
      </c>
      <c r="N10" s="12"/>
      <c r="O10" s="12"/>
      <c r="P10" s="12"/>
      <c r="R10" s="3">
        <f>M10/M30</f>
        <v>0.1702317034655029</v>
      </c>
      <c r="S10" s="3"/>
      <c r="T10" s="3"/>
      <c r="U10" s="3"/>
    </row>
    <row r="11" spans="1:21" x14ac:dyDescent="0.3">
      <c r="A11" t="s">
        <v>53</v>
      </c>
      <c r="B11" s="12"/>
      <c r="C11" s="11">
        <f>B86^2</f>
        <v>0.5776</v>
      </c>
      <c r="D11" s="12"/>
      <c r="E11" s="12"/>
      <c r="G11" s="3"/>
      <c r="H11" s="3">
        <f>C11/C30</f>
        <v>0.49750215331610681</v>
      </c>
      <c r="I11" s="3"/>
      <c r="J11" s="3"/>
      <c r="L11">
        <v>4</v>
      </c>
      <c r="M11" s="12"/>
      <c r="N11" s="11">
        <f>C11/L11</f>
        <v>0.1444</v>
      </c>
      <c r="O11" s="12"/>
      <c r="P11" s="12"/>
      <c r="R11" s="3"/>
      <c r="S11" s="3">
        <f>N11/N30</f>
        <v>0.21786360893180448</v>
      </c>
      <c r="T11" s="3"/>
      <c r="U11" s="3"/>
    </row>
    <row r="12" spans="1:21" x14ac:dyDescent="0.3">
      <c r="A12" t="s">
        <v>54</v>
      </c>
      <c r="B12" s="12"/>
      <c r="C12" s="12"/>
      <c r="D12" s="11">
        <f>B87^2</f>
        <v>0.64000000000000012</v>
      </c>
      <c r="E12" s="12"/>
      <c r="G12" s="3"/>
      <c r="H12" s="3"/>
      <c r="I12" s="3">
        <f>D12/D30</f>
        <v>0.47089986020160401</v>
      </c>
      <c r="J12" s="3"/>
      <c r="L12">
        <v>4</v>
      </c>
      <c r="M12" s="12"/>
      <c r="N12" s="12"/>
      <c r="O12" s="11">
        <f>D12/L12</f>
        <v>0.16000000000000003</v>
      </c>
      <c r="P12" s="12"/>
      <c r="R12" s="3"/>
      <c r="S12" s="3"/>
      <c r="T12" s="3">
        <f>O12/O30</f>
        <v>0.19605440509741454</v>
      </c>
      <c r="U12" s="3"/>
    </row>
    <row r="13" spans="1:21" x14ac:dyDescent="0.3">
      <c r="A13" t="s">
        <v>55</v>
      </c>
      <c r="B13" s="12"/>
      <c r="C13" s="12"/>
      <c r="D13" s="12"/>
      <c r="E13" s="11">
        <f>B88^2</f>
        <v>0.60840000000000005</v>
      </c>
      <c r="F13" s="1"/>
      <c r="G13" s="8"/>
      <c r="H13" s="8"/>
      <c r="I13" s="8"/>
      <c r="J13" s="3">
        <f>E13/E30</f>
        <v>0.41955727191228193</v>
      </c>
      <c r="K13" s="1"/>
      <c r="L13">
        <v>4</v>
      </c>
      <c r="M13" s="12"/>
      <c r="N13" s="12"/>
      <c r="O13" s="12"/>
      <c r="P13" s="11">
        <f>E13/L13</f>
        <v>0.15210000000000001</v>
      </c>
      <c r="R13" s="3"/>
      <c r="S13" s="3"/>
      <c r="T13" s="3"/>
      <c r="U13" s="3">
        <f>P13/P30</f>
        <v>0.15809167446211414</v>
      </c>
    </row>
    <row r="14" spans="1:21" x14ac:dyDescent="0.3">
      <c r="B14" s="12"/>
      <c r="C14" s="12"/>
      <c r="D14" s="12"/>
      <c r="E14" s="12"/>
      <c r="G14" s="3"/>
      <c r="H14" s="3"/>
      <c r="I14" s="3"/>
      <c r="J14" s="3"/>
      <c r="M14" s="12"/>
      <c r="N14" s="12"/>
      <c r="O14" s="12"/>
      <c r="P14" s="12"/>
    </row>
    <row r="15" spans="1:21" x14ac:dyDescent="0.3">
      <c r="A15" t="s">
        <v>56</v>
      </c>
      <c r="B15" s="11">
        <f>B38^2</f>
        <v>0.11560000000000002</v>
      </c>
      <c r="C15" s="12">
        <f>B42</f>
        <v>0.64</v>
      </c>
      <c r="D15" s="12">
        <f>B43</f>
        <v>-0.38</v>
      </c>
      <c r="E15" s="12">
        <f>B45</f>
        <v>-0.12</v>
      </c>
      <c r="G15" s="3">
        <f>B15/B30</f>
        <v>8.0709348600153635E-2</v>
      </c>
      <c r="H15" s="3"/>
      <c r="I15" s="3"/>
      <c r="J15" s="3"/>
    </row>
    <row r="16" spans="1:21" x14ac:dyDescent="0.3">
      <c r="A16" t="s">
        <v>57</v>
      </c>
      <c r="B16" s="12"/>
      <c r="C16" s="11">
        <f>B39^2</f>
        <v>6.25E-2</v>
      </c>
      <c r="D16" s="12">
        <f>B44</f>
        <v>-0.21</v>
      </c>
      <c r="E16" s="12">
        <f>B46</f>
        <v>-0.34</v>
      </c>
      <c r="G16" s="3"/>
      <c r="H16" s="3">
        <f>C16/C30</f>
        <v>5.3832902670111968E-2</v>
      </c>
      <c r="I16" s="3"/>
      <c r="J16" s="3"/>
    </row>
    <row r="17" spans="1:21" x14ac:dyDescent="0.3">
      <c r="A17" t="s">
        <v>58</v>
      </c>
      <c r="B17" s="12"/>
      <c r="C17" s="12"/>
      <c r="D17" s="11">
        <f>B40^2</f>
        <v>6.25E-2</v>
      </c>
      <c r="E17" s="12">
        <f>B47</f>
        <v>-0.06</v>
      </c>
      <c r="G17" s="3"/>
      <c r="H17" s="3"/>
      <c r="I17" s="3">
        <f>D17/D30</f>
        <v>4.5986314472812886E-2</v>
      </c>
      <c r="J17" s="3"/>
      <c r="R17" s="2"/>
      <c r="S17" s="2"/>
    </row>
    <row r="18" spans="1:21" x14ac:dyDescent="0.3">
      <c r="A18" t="s">
        <v>59</v>
      </c>
      <c r="B18" s="12"/>
      <c r="C18" s="12"/>
      <c r="D18" s="12"/>
      <c r="E18" s="11">
        <f>B41^2</f>
        <v>2.5600000000000001E-2</v>
      </c>
      <c r="F18" s="1"/>
      <c r="G18" s="8"/>
      <c r="H18" s="8"/>
      <c r="I18" s="8"/>
      <c r="J18" s="3">
        <f>E18/E30</f>
        <v>1.7653954899662091E-2</v>
      </c>
      <c r="K18" s="1"/>
    </row>
    <row r="19" spans="1:21" x14ac:dyDescent="0.3">
      <c r="B19" s="12"/>
      <c r="C19" s="12"/>
      <c r="D19" s="12"/>
      <c r="E19" s="12"/>
      <c r="G19" s="3"/>
      <c r="H19" s="3"/>
      <c r="I19" s="3"/>
      <c r="J19" s="3"/>
    </row>
    <row r="20" spans="1:21" x14ac:dyDescent="0.3">
      <c r="A20" t="s">
        <v>60</v>
      </c>
      <c r="B20" s="11">
        <f>B58^2</f>
        <v>4.0000000000000002E-4</v>
      </c>
      <c r="C20" s="12"/>
      <c r="D20" s="12"/>
      <c r="E20" s="12"/>
      <c r="G20" s="3">
        <f>B20/B30</f>
        <v>2.7927110242267688E-4</v>
      </c>
      <c r="H20" s="3"/>
      <c r="I20" s="3"/>
      <c r="J20" s="3"/>
    </row>
    <row r="21" spans="1:21" x14ac:dyDescent="0.3">
      <c r="A21" t="s">
        <v>61</v>
      </c>
      <c r="B21" s="12"/>
      <c r="C21" s="11">
        <f>B59^2</f>
        <v>8.9999999999999998E-4</v>
      </c>
      <c r="D21" s="12"/>
      <c r="E21" s="12"/>
      <c r="G21" s="3"/>
      <c r="H21" s="3">
        <f>C21/C30</f>
        <v>7.7519379844961239E-4</v>
      </c>
      <c r="I21" s="3"/>
      <c r="J21" s="3"/>
    </row>
    <row r="22" spans="1:21" x14ac:dyDescent="0.3">
      <c r="A22" t="s">
        <v>62</v>
      </c>
      <c r="B22" s="12"/>
      <c r="C22" s="12"/>
      <c r="D22" s="11">
        <f>B60^2</f>
        <v>1E-4</v>
      </c>
      <c r="E22" s="12"/>
      <c r="G22" s="3"/>
      <c r="H22" s="3"/>
      <c r="I22" s="3">
        <f>D22/D30</f>
        <v>7.3578103156500614E-5</v>
      </c>
      <c r="J22" s="3"/>
    </row>
    <row r="23" spans="1:21" x14ac:dyDescent="0.3">
      <c r="A23" t="s">
        <v>63</v>
      </c>
      <c r="B23" s="12"/>
      <c r="C23" s="12"/>
      <c r="D23" s="12"/>
      <c r="E23" s="11">
        <f>B61^2</f>
        <v>2.5000000000000005E-3</v>
      </c>
      <c r="F23" s="1"/>
      <c r="G23" s="8"/>
      <c r="H23" s="8"/>
      <c r="I23" s="8"/>
      <c r="J23" s="3">
        <f>E23/E30</f>
        <v>1.7240190331701264E-3</v>
      </c>
      <c r="K23" s="1"/>
    </row>
    <row r="24" spans="1:21" x14ac:dyDescent="0.3">
      <c r="B24" s="12"/>
      <c r="C24" s="12"/>
      <c r="D24" s="12"/>
      <c r="E24" s="12"/>
      <c r="G24" s="3"/>
      <c r="H24" s="3"/>
      <c r="I24" s="3"/>
      <c r="J24" s="3"/>
    </row>
    <row r="25" spans="1:21" x14ac:dyDescent="0.3">
      <c r="A25" t="s">
        <v>65</v>
      </c>
      <c r="B25" s="11">
        <f>B51^2</f>
        <v>8.9999999999999998E-4</v>
      </c>
      <c r="C25" s="12"/>
      <c r="D25" s="12"/>
      <c r="E25" s="12"/>
      <c r="G25" s="3">
        <f>B25/B30</f>
        <v>6.2835998045102299E-4</v>
      </c>
      <c r="H25" s="3"/>
      <c r="I25" s="3"/>
      <c r="J25" s="3"/>
    </row>
    <row r="26" spans="1:21" x14ac:dyDescent="0.3">
      <c r="A26" t="s">
        <v>64</v>
      </c>
      <c r="B26" s="12"/>
      <c r="C26" s="11">
        <f>B52^2</f>
        <v>1.6000000000000001E-3</v>
      </c>
      <c r="D26" s="12"/>
      <c r="E26" s="12"/>
      <c r="G26" s="3"/>
      <c r="H26" s="3">
        <f>C26/C30</f>
        <v>1.3781223083548665E-3</v>
      </c>
      <c r="I26" s="3"/>
      <c r="J26" s="3"/>
    </row>
    <row r="27" spans="1:21" x14ac:dyDescent="0.3">
      <c r="A27" t="s">
        <v>66</v>
      </c>
      <c r="B27" s="12"/>
      <c r="C27" s="12"/>
      <c r="D27" s="11">
        <f>B53^2</f>
        <v>4.0000000000000002E-4</v>
      </c>
      <c r="E27" s="12"/>
      <c r="G27" s="3"/>
      <c r="H27" s="3"/>
      <c r="I27" s="3">
        <f>D27/D30</f>
        <v>2.9431241262600245E-4</v>
      </c>
      <c r="J27" s="3"/>
    </row>
    <row r="28" spans="1:21" x14ac:dyDescent="0.3">
      <c r="A28" t="s">
        <v>67</v>
      </c>
      <c r="B28" s="12"/>
      <c r="C28" s="12"/>
      <c r="D28" s="12"/>
      <c r="E28" s="11">
        <f>B54^2</f>
        <v>3.5999999999999999E-3</v>
      </c>
      <c r="F28" s="1"/>
      <c r="G28" s="8"/>
      <c r="H28" s="8"/>
      <c r="I28" s="8"/>
      <c r="J28" s="3">
        <f>E28/E30</f>
        <v>2.4825874077649816E-3</v>
      </c>
      <c r="K28" s="1"/>
    </row>
    <row r="29" spans="1:21" x14ac:dyDescent="0.3">
      <c r="B29" s="12"/>
      <c r="C29" s="12"/>
      <c r="D29" s="12"/>
      <c r="E29" s="12"/>
    </row>
    <row r="30" spans="1:21" x14ac:dyDescent="0.3">
      <c r="A30" s="7" t="s">
        <v>74</v>
      </c>
      <c r="B30" s="13">
        <f>SUM(B5,B10,B15,B20,B25)</f>
        <v>1.4322999999999997</v>
      </c>
      <c r="C30" s="13">
        <f>SUM(C6,C11,C16,C21,C26)</f>
        <v>1.161</v>
      </c>
      <c r="D30" s="13">
        <f>SUM(D7,D12,D17,D22,D27)</f>
        <v>1.3591000000000002</v>
      </c>
      <c r="E30" s="13">
        <f>SUM(E8,E13,E18,E23,E28)</f>
        <v>1.4501000000000002</v>
      </c>
      <c r="F30" s="7"/>
      <c r="G30" s="7"/>
      <c r="H30" s="7"/>
      <c r="I30" s="7"/>
      <c r="J30" s="7"/>
      <c r="K30" s="7"/>
      <c r="L30" s="7"/>
      <c r="M30" s="13">
        <f>SUM(M5,M10)</f>
        <v>0.87072499999999997</v>
      </c>
      <c r="N30" s="13">
        <f>SUM(N6,N11)</f>
        <v>0.66279999999999994</v>
      </c>
      <c r="O30" s="13">
        <f>SUM(O7,O12)</f>
        <v>0.81610000000000016</v>
      </c>
      <c r="P30" s="13">
        <f>SUM(P8,P13)</f>
        <v>0.96210000000000007</v>
      </c>
      <c r="Q30" s="7"/>
      <c r="R30" s="7"/>
      <c r="S30" s="7"/>
      <c r="T30" s="7"/>
      <c r="U30" s="7"/>
    </row>
    <row r="31" spans="1:21" x14ac:dyDescent="0.3">
      <c r="A31" s="4" t="s">
        <v>78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14">
        <f>M5/SUM(M5,M10)</f>
        <v>0.82976829653449702</v>
      </c>
      <c r="N31" s="14">
        <f>N6/SUM(N6,N11)</f>
        <v>0.78213639106819555</v>
      </c>
      <c r="O31" s="14">
        <f>O7/SUM(O7,O12)</f>
        <v>0.80394559490258544</v>
      </c>
      <c r="P31" s="14">
        <f>P8/SUM(P8,P13)</f>
        <v>0.84190832553788586</v>
      </c>
      <c r="Q31" s="4"/>
      <c r="R31" s="4"/>
      <c r="S31" s="4"/>
      <c r="T31" s="4"/>
      <c r="U31" s="4"/>
    </row>
    <row r="33" spans="1:14" x14ac:dyDescent="0.3">
      <c r="A33" s="1" t="s">
        <v>73</v>
      </c>
    </row>
    <row r="35" spans="1:14" x14ac:dyDescent="0.3">
      <c r="A35" t="s">
        <v>0</v>
      </c>
      <c r="B35" t="s">
        <v>1</v>
      </c>
    </row>
    <row r="36" spans="1:14" x14ac:dyDescent="0.3">
      <c r="A36" t="s">
        <v>2</v>
      </c>
      <c r="B36" t="s">
        <v>3</v>
      </c>
      <c r="C36" t="s">
        <v>4</v>
      </c>
      <c r="D36" t="s">
        <v>5</v>
      </c>
      <c r="E36" t="s">
        <v>6</v>
      </c>
    </row>
    <row r="37" spans="1:14" x14ac:dyDescent="0.3">
      <c r="B37" t="s">
        <v>7</v>
      </c>
      <c r="C37" t="s">
        <v>8</v>
      </c>
      <c r="D37" t="s">
        <v>9</v>
      </c>
      <c r="E37" t="s">
        <v>10</v>
      </c>
      <c r="L37" t="s">
        <v>11</v>
      </c>
      <c r="M37" t="s">
        <v>12</v>
      </c>
      <c r="N37" t="s">
        <v>13</v>
      </c>
    </row>
    <row r="38" spans="1:14" x14ac:dyDescent="0.3">
      <c r="A38" t="s">
        <v>14</v>
      </c>
      <c r="B38">
        <v>0.34</v>
      </c>
      <c r="C38">
        <v>0.1</v>
      </c>
      <c r="D38">
        <v>0.2</v>
      </c>
      <c r="E38">
        <v>0.59</v>
      </c>
      <c r="L38">
        <v>1</v>
      </c>
      <c r="M38">
        <v>1464</v>
      </c>
      <c r="N38">
        <v>2102</v>
      </c>
    </row>
    <row r="39" spans="1:14" x14ac:dyDescent="0.3">
      <c r="A39" t="s">
        <v>15</v>
      </c>
      <c r="B39">
        <v>0.25</v>
      </c>
      <c r="C39">
        <v>7.0000000000000007E-2</v>
      </c>
      <c r="D39">
        <v>0.15</v>
      </c>
      <c r="E39">
        <v>0.44</v>
      </c>
      <c r="L39">
        <v>1</v>
      </c>
      <c r="M39">
        <v>1602</v>
      </c>
      <c r="N39">
        <v>2216</v>
      </c>
    </row>
    <row r="40" spans="1:14" x14ac:dyDescent="0.3">
      <c r="A40" t="s">
        <v>16</v>
      </c>
      <c r="B40">
        <v>0.25</v>
      </c>
      <c r="C40">
        <v>0.09</v>
      </c>
      <c r="D40">
        <v>0.13</v>
      </c>
      <c r="E40">
        <v>0.47</v>
      </c>
      <c r="L40">
        <v>1</v>
      </c>
      <c r="M40">
        <v>1695</v>
      </c>
      <c r="N40">
        <v>2204</v>
      </c>
    </row>
    <row r="41" spans="1:14" x14ac:dyDescent="0.3">
      <c r="A41" t="s">
        <v>17</v>
      </c>
      <c r="B41">
        <v>0.16</v>
      </c>
      <c r="C41">
        <v>7.0000000000000007E-2</v>
      </c>
      <c r="D41">
        <v>7.0000000000000007E-2</v>
      </c>
      <c r="E41">
        <v>0.34</v>
      </c>
      <c r="L41">
        <v>1</v>
      </c>
      <c r="M41">
        <v>1327</v>
      </c>
      <c r="N41">
        <v>1600</v>
      </c>
    </row>
    <row r="42" spans="1:14" x14ac:dyDescent="0.3">
      <c r="A42" t="s">
        <v>18</v>
      </c>
      <c r="B42">
        <v>0.64</v>
      </c>
      <c r="C42">
        <v>0.23</v>
      </c>
      <c r="D42">
        <v>0.06</v>
      </c>
      <c r="E42">
        <v>0.93</v>
      </c>
      <c r="L42">
        <v>1</v>
      </c>
      <c r="M42">
        <v>1598</v>
      </c>
      <c r="N42">
        <v>2523</v>
      </c>
    </row>
    <row r="43" spans="1:14" x14ac:dyDescent="0.3">
      <c r="A43" t="s">
        <v>19</v>
      </c>
      <c r="B43">
        <v>-0.38</v>
      </c>
      <c r="C43">
        <v>0.27</v>
      </c>
      <c r="D43">
        <v>-0.79</v>
      </c>
      <c r="E43">
        <v>0.22</v>
      </c>
      <c r="L43">
        <v>1</v>
      </c>
      <c r="M43">
        <v>2305</v>
      </c>
      <c r="N43">
        <v>2577</v>
      </c>
    </row>
    <row r="44" spans="1:14" x14ac:dyDescent="0.3">
      <c r="A44" t="s">
        <v>20</v>
      </c>
      <c r="B44">
        <v>-0.21</v>
      </c>
      <c r="C44">
        <v>0.28000000000000003</v>
      </c>
      <c r="D44">
        <v>-0.69</v>
      </c>
      <c r="E44">
        <v>0.38</v>
      </c>
      <c r="L44">
        <v>1</v>
      </c>
      <c r="M44">
        <v>2649</v>
      </c>
      <c r="N44">
        <v>2842</v>
      </c>
    </row>
    <row r="45" spans="1:14" x14ac:dyDescent="0.3">
      <c r="A45" t="s">
        <v>21</v>
      </c>
      <c r="B45">
        <v>-0.12</v>
      </c>
      <c r="C45">
        <v>0.28999999999999998</v>
      </c>
      <c r="D45">
        <v>-0.66</v>
      </c>
      <c r="E45">
        <v>0.48</v>
      </c>
      <c r="L45">
        <v>1</v>
      </c>
      <c r="M45">
        <v>2243</v>
      </c>
      <c r="N45">
        <v>2681</v>
      </c>
    </row>
    <row r="46" spans="1:14" x14ac:dyDescent="0.3">
      <c r="A46" t="s">
        <v>22</v>
      </c>
      <c r="B46">
        <v>-0.34</v>
      </c>
      <c r="C46">
        <v>0.28999999999999998</v>
      </c>
      <c r="D46">
        <v>-0.81</v>
      </c>
      <c r="E46">
        <v>0.28000000000000003</v>
      </c>
      <c r="L46">
        <v>1</v>
      </c>
      <c r="M46">
        <v>2822</v>
      </c>
      <c r="N46">
        <v>2705</v>
      </c>
    </row>
    <row r="47" spans="1:14" x14ac:dyDescent="0.3">
      <c r="A47" t="s">
        <v>23</v>
      </c>
      <c r="B47">
        <v>-0.06</v>
      </c>
      <c r="C47">
        <v>0.3</v>
      </c>
      <c r="D47">
        <v>-0.62</v>
      </c>
      <c r="E47">
        <v>0.53</v>
      </c>
      <c r="L47">
        <v>1</v>
      </c>
      <c r="M47">
        <v>3072</v>
      </c>
      <c r="N47">
        <v>2539</v>
      </c>
    </row>
    <row r="49" spans="1:14" x14ac:dyDescent="0.3">
      <c r="A49" t="s">
        <v>24</v>
      </c>
      <c r="B49" t="s">
        <v>3</v>
      </c>
      <c r="C49" t="s">
        <v>4</v>
      </c>
      <c r="D49" t="s">
        <v>5</v>
      </c>
      <c r="E49" t="s">
        <v>25</v>
      </c>
    </row>
    <row r="50" spans="1:14" x14ac:dyDescent="0.3">
      <c r="B50" t="s">
        <v>7</v>
      </c>
      <c r="C50" t="s">
        <v>8</v>
      </c>
      <c r="D50" t="s">
        <v>9</v>
      </c>
      <c r="E50" t="s">
        <v>10</v>
      </c>
      <c r="L50" t="s">
        <v>11</v>
      </c>
      <c r="M50" t="s">
        <v>12</v>
      </c>
      <c r="N50" t="s">
        <v>13</v>
      </c>
    </row>
    <row r="51" spans="1:14" x14ac:dyDescent="0.3">
      <c r="A51" t="s">
        <v>14</v>
      </c>
      <c r="B51">
        <v>0.03</v>
      </c>
      <c r="C51">
        <v>0.04</v>
      </c>
      <c r="D51">
        <v>0</v>
      </c>
      <c r="E51">
        <v>0.15</v>
      </c>
      <c r="L51">
        <v>1</v>
      </c>
      <c r="M51">
        <v>1299</v>
      </c>
      <c r="N51">
        <v>1873</v>
      </c>
    </row>
    <row r="52" spans="1:14" x14ac:dyDescent="0.3">
      <c r="A52" t="s">
        <v>15</v>
      </c>
      <c r="B52">
        <v>0.04</v>
      </c>
      <c r="C52">
        <v>0.05</v>
      </c>
      <c r="D52">
        <v>0</v>
      </c>
      <c r="E52">
        <v>0.16</v>
      </c>
      <c r="L52">
        <v>1</v>
      </c>
      <c r="M52">
        <v>1213</v>
      </c>
      <c r="N52">
        <v>2170</v>
      </c>
    </row>
    <row r="53" spans="1:14" x14ac:dyDescent="0.3">
      <c r="A53" t="s">
        <v>16</v>
      </c>
      <c r="B53">
        <v>0.02</v>
      </c>
      <c r="C53">
        <v>0.03</v>
      </c>
      <c r="D53">
        <v>0</v>
      </c>
      <c r="E53">
        <v>0.1</v>
      </c>
      <c r="L53">
        <v>1</v>
      </c>
      <c r="M53">
        <v>1564</v>
      </c>
      <c r="N53">
        <v>1973</v>
      </c>
    </row>
    <row r="54" spans="1:14" x14ac:dyDescent="0.3">
      <c r="A54" t="s">
        <v>17</v>
      </c>
      <c r="B54">
        <v>0.06</v>
      </c>
      <c r="C54">
        <v>7.0000000000000007E-2</v>
      </c>
      <c r="D54">
        <v>0</v>
      </c>
      <c r="E54">
        <v>0.26</v>
      </c>
      <c r="L54">
        <v>1</v>
      </c>
      <c r="M54">
        <v>875</v>
      </c>
      <c r="N54">
        <v>2154</v>
      </c>
    </row>
    <row r="56" spans="1:14" x14ac:dyDescent="0.3">
      <c r="A56" t="s">
        <v>26</v>
      </c>
      <c r="B56" t="s">
        <v>3</v>
      </c>
      <c r="C56" t="s">
        <v>4</v>
      </c>
      <c r="D56" t="s">
        <v>5</v>
      </c>
      <c r="E56" t="s">
        <v>27</v>
      </c>
    </row>
    <row r="57" spans="1:14" x14ac:dyDescent="0.3">
      <c r="B57" t="s">
        <v>7</v>
      </c>
      <c r="C57" t="s">
        <v>8</v>
      </c>
      <c r="D57" t="s">
        <v>9</v>
      </c>
      <c r="E57" t="s">
        <v>10</v>
      </c>
      <c r="L57" t="s">
        <v>11</v>
      </c>
      <c r="M57" t="s">
        <v>12</v>
      </c>
      <c r="N57" t="s">
        <v>13</v>
      </c>
    </row>
    <row r="58" spans="1:14" x14ac:dyDescent="0.3">
      <c r="A58" t="s">
        <v>14</v>
      </c>
      <c r="B58">
        <v>0.02</v>
      </c>
      <c r="C58">
        <v>0.02</v>
      </c>
      <c r="D58">
        <v>0</v>
      </c>
      <c r="E58">
        <v>0.06</v>
      </c>
      <c r="L58">
        <v>1</v>
      </c>
      <c r="M58">
        <v>998</v>
      </c>
      <c r="N58">
        <v>1930</v>
      </c>
    </row>
    <row r="59" spans="1:14" x14ac:dyDescent="0.3">
      <c r="A59" t="s">
        <v>15</v>
      </c>
      <c r="B59">
        <v>0.03</v>
      </c>
      <c r="C59">
        <v>0.02</v>
      </c>
      <c r="D59">
        <v>0</v>
      </c>
      <c r="E59">
        <v>7.0000000000000007E-2</v>
      </c>
      <c r="L59">
        <v>1</v>
      </c>
      <c r="M59">
        <v>997</v>
      </c>
      <c r="N59">
        <v>1271</v>
      </c>
    </row>
    <row r="60" spans="1:14" x14ac:dyDescent="0.3">
      <c r="A60" t="s">
        <v>16</v>
      </c>
      <c r="B60">
        <v>0.01</v>
      </c>
      <c r="C60">
        <v>0.01</v>
      </c>
      <c r="D60">
        <v>0</v>
      </c>
      <c r="E60">
        <v>0.04</v>
      </c>
      <c r="L60">
        <v>1</v>
      </c>
      <c r="M60">
        <v>1826</v>
      </c>
      <c r="N60">
        <v>1755</v>
      </c>
    </row>
    <row r="61" spans="1:14" x14ac:dyDescent="0.3">
      <c r="A61" t="s">
        <v>17</v>
      </c>
      <c r="B61">
        <v>0.05</v>
      </c>
      <c r="C61">
        <v>0.03</v>
      </c>
      <c r="D61">
        <v>0</v>
      </c>
      <c r="E61">
        <v>0.11</v>
      </c>
      <c r="L61">
        <v>1.01</v>
      </c>
      <c r="M61">
        <v>579</v>
      </c>
      <c r="N61">
        <v>833</v>
      </c>
    </row>
    <row r="63" spans="1:14" x14ac:dyDescent="0.3">
      <c r="A63" t="s">
        <v>28</v>
      </c>
      <c r="B63" t="s">
        <v>3</v>
      </c>
      <c r="C63" t="s">
        <v>4</v>
      </c>
      <c r="D63" t="s">
        <v>5</v>
      </c>
      <c r="E63" t="s">
        <v>29</v>
      </c>
    </row>
    <row r="64" spans="1:14" x14ac:dyDescent="0.3">
      <c r="B64" t="s">
        <v>7</v>
      </c>
      <c r="C64" t="s">
        <v>8</v>
      </c>
      <c r="D64" t="s">
        <v>9</v>
      </c>
      <c r="E64" t="s">
        <v>10</v>
      </c>
      <c r="L64" t="s">
        <v>11</v>
      </c>
      <c r="M64" t="s">
        <v>12</v>
      </c>
      <c r="N64" t="s">
        <v>13</v>
      </c>
    </row>
    <row r="65" spans="1:14" x14ac:dyDescent="0.3">
      <c r="A65" t="s">
        <v>14</v>
      </c>
      <c r="B65">
        <v>0.85</v>
      </c>
      <c r="C65">
        <v>0.01</v>
      </c>
      <c r="D65">
        <v>0.83</v>
      </c>
      <c r="E65">
        <v>0.88</v>
      </c>
      <c r="L65">
        <v>1</v>
      </c>
      <c r="M65">
        <v>1114</v>
      </c>
      <c r="N65">
        <v>1998</v>
      </c>
    </row>
    <row r="66" spans="1:14" x14ac:dyDescent="0.3">
      <c r="A66" t="s">
        <v>15</v>
      </c>
      <c r="B66">
        <v>0.72</v>
      </c>
      <c r="C66">
        <v>0.01</v>
      </c>
      <c r="D66">
        <v>0.69</v>
      </c>
      <c r="E66">
        <v>0.74</v>
      </c>
      <c r="L66">
        <v>1</v>
      </c>
      <c r="M66">
        <v>1491</v>
      </c>
      <c r="N66">
        <v>2422</v>
      </c>
    </row>
    <row r="67" spans="1:14" x14ac:dyDescent="0.3">
      <c r="A67" t="s">
        <v>16</v>
      </c>
      <c r="B67">
        <v>0.81</v>
      </c>
      <c r="C67">
        <v>0.01</v>
      </c>
      <c r="D67">
        <v>0.79</v>
      </c>
      <c r="E67">
        <v>0.84</v>
      </c>
      <c r="L67">
        <v>1</v>
      </c>
      <c r="M67">
        <v>1532</v>
      </c>
      <c r="N67">
        <v>2466</v>
      </c>
    </row>
    <row r="68" spans="1:14" x14ac:dyDescent="0.3">
      <c r="A68" t="s">
        <v>17</v>
      </c>
      <c r="B68">
        <v>0.9</v>
      </c>
      <c r="C68">
        <v>0.02</v>
      </c>
      <c r="D68">
        <v>0.87</v>
      </c>
      <c r="E68">
        <v>0.93</v>
      </c>
      <c r="L68">
        <v>1</v>
      </c>
      <c r="M68">
        <v>1593</v>
      </c>
      <c r="N68">
        <v>2354</v>
      </c>
    </row>
    <row r="69" spans="1:14" x14ac:dyDescent="0.3">
      <c r="A69" t="s">
        <v>18</v>
      </c>
      <c r="B69">
        <v>0.71</v>
      </c>
      <c r="C69">
        <v>0.02</v>
      </c>
      <c r="D69">
        <v>0.68</v>
      </c>
      <c r="E69">
        <v>0.74</v>
      </c>
      <c r="L69">
        <v>1</v>
      </c>
      <c r="M69">
        <v>1118</v>
      </c>
      <c r="N69">
        <v>1829</v>
      </c>
    </row>
    <row r="70" spans="1:14" x14ac:dyDescent="0.3">
      <c r="A70" t="s">
        <v>19</v>
      </c>
      <c r="B70">
        <v>-0.5</v>
      </c>
      <c r="C70">
        <v>0.02</v>
      </c>
      <c r="D70">
        <v>-0.54</v>
      </c>
      <c r="E70">
        <v>-0.46</v>
      </c>
      <c r="L70">
        <v>1</v>
      </c>
      <c r="M70">
        <v>1224</v>
      </c>
      <c r="N70">
        <v>1743</v>
      </c>
    </row>
    <row r="71" spans="1:14" x14ac:dyDescent="0.3">
      <c r="A71" t="s">
        <v>20</v>
      </c>
      <c r="B71">
        <v>-0.67</v>
      </c>
      <c r="C71">
        <v>0.02</v>
      </c>
      <c r="D71">
        <v>-0.7</v>
      </c>
      <c r="E71">
        <v>-0.64</v>
      </c>
      <c r="L71">
        <v>1.01</v>
      </c>
      <c r="M71">
        <v>920</v>
      </c>
      <c r="N71">
        <v>2211</v>
      </c>
    </row>
    <row r="72" spans="1:14" x14ac:dyDescent="0.3">
      <c r="A72" t="s">
        <v>21</v>
      </c>
      <c r="B72">
        <v>0.03</v>
      </c>
      <c r="C72">
        <v>0.02</v>
      </c>
      <c r="D72">
        <v>-0.02</v>
      </c>
      <c r="E72">
        <v>7.0000000000000007E-2</v>
      </c>
      <c r="L72">
        <v>1</v>
      </c>
      <c r="M72">
        <v>972</v>
      </c>
      <c r="N72">
        <v>2211</v>
      </c>
    </row>
    <row r="73" spans="1:14" x14ac:dyDescent="0.3">
      <c r="A73" t="s">
        <v>22</v>
      </c>
      <c r="B73">
        <v>-0.22</v>
      </c>
      <c r="C73">
        <v>0.02</v>
      </c>
      <c r="D73">
        <v>-0.26</v>
      </c>
      <c r="E73">
        <v>-0.17</v>
      </c>
      <c r="L73">
        <v>1</v>
      </c>
      <c r="M73">
        <v>802</v>
      </c>
      <c r="N73">
        <v>1641</v>
      </c>
    </row>
    <row r="74" spans="1:14" x14ac:dyDescent="0.3">
      <c r="A74" t="s">
        <v>23</v>
      </c>
      <c r="B74">
        <v>0.44</v>
      </c>
      <c r="C74">
        <v>0.02</v>
      </c>
      <c r="D74">
        <v>0.4</v>
      </c>
      <c r="E74">
        <v>0.49</v>
      </c>
      <c r="L74">
        <v>1</v>
      </c>
      <c r="M74">
        <v>925</v>
      </c>
      <c r="N74">
        <v>1357</v>
      </c>
    </row>
    <row r="76" spans="1:14" x14ac:dyDescent="0.3">
      <c r="A76" t="s">
        <v>30</v>
      </c>
      <c r="B76" t="s">
        <v>31</v>
      </c>
    </row>
    <row r="77" spans="1:14" x14ac:dyDescent="0.3">
      <c r="B77" t="s">
        <v>7</v>
      </c>
      <c r="C77" t="s">
        <v>8</v>
      </c>
      <c r="D77" t="s">
        <v>9</v>
      </c>
      <c r="E77" t="s">
        <v>10</v>
      </c>
      <c r="L77" t="s">
        <v>11</v>
      </c>
      <c r="M77" t="s">
        <v>12</v>
      </c>
      <c r="N77" t="s">
        <v>13</v>
      </c>
    </row>
    <row r="78" spans="1:14" x14ac:dyDescent="0.3">
      <c r="A78" t="s">
        <v>32</v>
      </c>
      <c r="B78">
        <v>2.65</v>
      </c>
      <c r="C78">
        <v>0.13</v>
      </c>
      <c r="D78">
        <v>2.39</v>
      </c>
      <c r="E78">
        <v>2.91</v>
      </c>
      <c r="L78">
        <v>1</v>
      </c>
      <c r="M78">
        <v>852</v>
      </c>
      <c r="N78">
        <v>1560</v>
      </c>
    </row>
    <row r="79" spans="1:14" x14ac:dyDescent="0.3">
      <c r="A79" t="s">
        <v>33</v>
      </c>
      <c r="B79">
        <v>3.32</v>
      </c>
      <c r="C79">
        <v>0.1</v>
      </c>
      <c r="D79">
        <v>3.12</v>
      </c>
      <c r="E79">
        <v>3.51</v>
      </c>
      <c r="L79">
        <v>1</v>
      </c>
      <c r="M79">
        <v>994</v>
      </c>
      <c r="N79">
        <v>1608</v>
      </c>
    </row>
    <row r="80" spans="1:14" x14ac:dyDescent="0.3">
      <c r="A80" t="s">
        <v>34</v>
      </c>
      <c r="B80">
        <v>3.07</v>
      </c>
      <c r="C80">
        <v>0.1</v>
      </c>
      <c r="D80">
        <v>2.87</v>
      </c>
      <c r="E80">
        <v>3.27</v>
      </c>
      <c r="L80">
        <v>1</v>
      </c>
      <c r="M80">
        <v>965</v>
      </c>
      <c r="N80">
        <v>1833</v>
      </c>
    </row>
    <row r="81" spans="1:14" x14ac:dyDescent="0.3">
      <c r="A81" t="s">
        <v>35</v>
      </c>
      <c r="B81">
        <v>2.58</v>
      </c>
      <c r="C81">
        <v>0.08</v>
      </c>
      <c r="D81">
        <v>2.42</v>
      </c>
      <c r="E81">
        <v>2.75</v>
      </c>
      <c r="L81">
        <v>1</v>
      </c>
      <c r="M81">
        <v>1543</v>
      </c>
      <c r="N81">
        <v>1899</v>
      </c>
    </row>
    <row r="83" spans="1:14" x14ac:dyDescent="0.3">
      <c r="A83" t="s">
        <v>36</v>
      </c>
      <c r="B83" t="s">
        <v>37</v>
      </c>
      <c r="C83" t="s">
        <v>38</v>
      </c>
    </row>
    <row r="84" spans="1:14" x14ac:dyDescent="0.3">
      <c r="B84" t="s">
        <v>7</v>
      </c>
      <c r="C84" t="s">
        <v>8</v>
      </c>
      <c r="D84" t="s">
        <v>9</v>
      </c>
      <c r="E84" t="s">
        <v>10</v>
      </c>
      <c r="L84" t="s">
        <v>11</v>
      </c>
      <c r="M84" t="s">
        <v>12</v>
      </c>
      <c r="N84" t="s">
        <v>13</v>
      </c>
    </row>
    <row r="85" spans="1:14" x14ac:dyDescent="0.3">
      <c r="A85" t="s">
        <v>39</v>
      </c>
      <c r="B85">
        <v>0.77</v>
      </c>
      <c r="C85">
        <v>0.01</v>
      </c>
      <c r="D85">
        <v>0.76</v>
      </c>
      <c r="E85">
        <v>0.79</v>
      </c>
      <c r="L85">
        <v>1</v>
      </c>
      <c r="M85">
        <v>4280</v>
      </c>
      <c r="N85">
        <v>3617</v>
      </c>
    </row>
    <row r="86" spans="1:14" x14ac:dyDescent="0.3">
      <c r="A86" t="s">
        <v>40</v>
      </c>
      <c r="B86">
        <v>0.76</v>
      </c>
      <c r="C86">
        <v>0.01</v>
      </c>
      <c r="D86">
        <v>0.75</v>
      </c>
      <c r="E86">
        <v>0.78</v>
      </c>
      <c r="L86">
        <v>1</v>
      </c>
      <c r="M86">
        <v>4480</v>
      </c>
      <c r="N86">
        <v>3470</v>
      </c>
    </row>
    <row r="87" spans="1:14" x14ac:dyDescent="0.3">
      <c r="A87" t="s">
        <v>41</v>
      </c>
      <c r="B87">
        <v>0.8</v>
      </c>
      <c r="C87">
        <v>0.01</v>
      </c>
      <c r="D87">
        <v>0.79</v>
      </c>
      <c r="E87">
        <v>0.82</v>
      </c>
      <c r="L87">
        <v>1</v>
      </c>
      <c r="M87">
        <v>4128</v>
      </c>
      <c r="N87">
        <v>2906</v>
      </c>
    </row>
    <row r="88" spans="1:14" x14ac:dyDescent="0.3">
      <c r="A88" t="s">
        <v>42</v>
      </c>
      <c r="B88">
        <v>0.78</v>
      </c>
      <c r="C88">
        <v>0.01</v>
      </c>
      <c r="D88">
        <v>0.76</v>
      </c>
      <c r="E88">
        <v>0.79</v>
      </c>
      <c r="L88">
        <v>1</v>
      </c>
      <c r="M88">
        <v>5047</v>
      </c>
      <c r="N88">
        <v>3358</v>
      </c>
    </row>
  </sheetData>
  <mergeCells count="6">
    <mergeCell ref="B3:E3"/>
    <mergeCell ref="L3:P3"/>
    <mergeCell ref="R3:U3"/>
    <mergeCell ref="G3:J3"/>
    <mergeCell ref="B2:J2"/>
    <mergeCell ref="L2:U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multicountry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Duncan Jackson</dc:creator>
  <cp:lastModifiedBy>Duncan Jackson</cp:lastModifiedBy>
  <dcterms:created xsi:type="dcterms:W3CDTF">2025-05-07T07:49:32Z</dcterms:created>
  <dcterms:modified xsi:type="dcterms:W3CDTF">2025-05-07T08:44:43Z</dcterms:modified>
</cp:coreProperties>
</file>